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gsidd\Downloads\SQL PROJECT FILES\Project_Files_csv_raw\ExcelProject-2\"/>
    </mc:Choice>
  </mc:AlternateContent>
  <xr:revisionPtr revIDLastSave="0" documentId="13_ncr:1_{3CC5E2B7-6BCF-440A-89A1-E0664B4F5C2A}" xr6:coauthVersionLast="47" xr6:coauthVersionMax="47" xr10:uidLastSave="{00000000-0000-0000-0000-000000000000}"/>
  <bookViews>
    <workbookView xWindow="-108" yWindow="-108" windowWidth="23256" windowHeight="12456" activeTab="4" xr2:uid="{6E235D4D-30BF-441B-8436-946A5E240A1B}"/>
  </bookViews>
  <sheets>
    <sheet name="Analysis" sheetId="5" r:id="rId1"/>
    <sheet name="orders" sheetId="2" r:id="rId2"/>
    <sheet name="logistics" sheetId="3" r:id="rId3"/>
    <sheet name="Pivot Table" sheetId="4" r:id="rId4"/>
    <sheet name="DashBoard" sheetId="1" r:id="rId5"/>
  </sheets>
  <definedNames>
    <definedName name="_xlcn.WorksheetConnection_Book1logistics1" hidden="1">logistics[]</definedName>
    <definedName name="_xlcn.WorksheetConnection_Book1orders1" hidden="1">orders[]</definedName>
    <definedName name="ExternalData_1" localSheetId="1" hidden="1">orders!$A$1:$D$101</definedName>
    <definedName name="ExternalData_2" localSheetId="2" hidden="1">logistics!$A$1:$J$101</definedName>
    <definedName name="Slicer_Actual_transit_days">#N/A</definedName>
    <definedName name="Slicer_OrderID">#N/A</definedName>
    <definedName name="Timeline_Order_Date">#N/A</definedName>
  </definedNames>
  <calcPr calcId="191029"/>
  <pivotCaches>
    <pivotCache cacheId="0" r:id="rId6"/>
    <pivotCache cacheId="1" r:id="rId7"/>
    <pivotCache cacheId="2" r:id="rId8"/>
    <pivotCache cacheId="3" r:id="rId9"/>
    <pivotCache cacheId="4" r:id="rId10"/>
  </pivotCaches>
  <extLst>
    <ext xmlns:x14="http://schemas.microsoft.com/office/spreadsheetml/2009/9/main" uri="{876F7934-8845-4945-9796-88D515C7AA90}">
      <x14:pivotCaches>
        <pivotCache cacheId="5"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 r:id="rId14"/>
      </x15:timelineCachePivotCaches>
    </ext>
    <ext xmlns:x15="http://schemas.microsoft.com/office/spreadsheetml/2010/11/main" uri="{D0CA8CA8-9F24-4464-BF8E-62219DCF47F9}">
      <x15:timelineCacheRefs>
        <x15:timelineCacheRef r:id="rId1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24a899f9-86a4-494f-99c4-2a9e10442d47" name="orders" connection="Query - orders"/>
          <x15:modelTable id="logistics_fa1f7e8d-8b03-4593-874c-b64cd6d76eda" name="logistics" connection="Query - logistics"/>
          <x15:modelTable id="orders 1" name="orders 1" connection="WorksheetConnection_Book1!orders"/>
          <x15:modelTable id="logistics 1" name="logistics 1" connection="WorksheetConnection_Book1!logistic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E36D51-F1E1-4A93-9884-69086C31F715}" keepAlive="1" name="ModelConnection_ExternalData_1"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2" xr16:uid="{230EFF17-E60A-451D-BD34-2C7E20B6E4F0}" keepAlive="1" name="ModelConnection_ExternalData_2" description="Data Model" type="5" refreshedVersion="8" minRefreshableVersion="5" saveData="1">
    <dbPr connection="Data Model Connection" command="logistics" commandType="3"/>
    <extLst>
      <ext xmlns:x15="http://schemas.microsoft.com/office/spreadsheetml/2010/11/main" uri="{DE250136-89BD-433C-8126-D09CA5730AF9}">
        <x15:connection id="" model="1"/>
      </ext>
    </extLst>
  </connection>
  <connection id="3" xr16:uid="{E0CAA2D5-3A4D-4063-A4B7-099122865B31}" name="Query - logistics" description="Connection to the 'logistics' query in the workbook." type="100" refreshedVersion="8" minRefreshableVersion="5">
    <extLst>
      <ext xmlns:x15="http://schemas.microsoft.com/office/spreadsheetml/2010/11/main" uri="{DE250136-89BD-433C-8126-D09CA5730AF9}">
        <x15:connection id="93207947-1600-4ba1-b824-2615fd66e217"/>
      </ext>
    </extLst>
  </connection>
  <connection id="4" xr16:uid="{5BAD208F-6255-4D0F-9586-73DFBCBB4D13}" name="Query - orders" description="Connection to the 'orders' query in the workbook." type="100" refreshedVersion="8" minRefreshableVersion="5">
    <extLst>
      <ext xmlns:x15="http://schemas.microsoft.com/office/spreadsheetml/2010/11/main" uri="{DE250136-89BD-433C-8126-D09CA5730AF9}">
        <x15:connection id="e235e5fb-4ab2-492f-a8ae-49c290f3e4a1">
          <x15:oledbPr connection="Provider=Microsoft.Mashup.OleDb.1;Data Source=$Workbook$;Location=orders;Extended Properties=&quot;&quot;">
            <x15:dbTables>
              <x15:dbTable name="orders"/>
            </x15:dbTables>
          </x15:oledbPr>
        </x15:connection>
      </ext>
    </extLst>
  </connection>
  <connection id="5" xr16:uid="{6CC5D32B-51F9-4A60-9FB7-68FFCDDF4375}"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6" xr16:uid="{881EC35C-7701-4571-91E3-09CFD90606D0}"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7" xr16:uid="{B7DB2D1B-6330-4522-89D3-F30966103B69}"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8" xr16:uid="{9941A695-AB86-427F-9A3B-2E7C4EBABBE5}"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9" xr16:uid="{4BABFE9A-8164-4238-9235-A9C85D9B9CA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C3245D73-60BF-444B-8734-EB6BA38540CB}" name="WorksheetConnection_Book1!logistics" type="102" refreshedVersion="8" minRefreshableVersion="5">
    <extLst>
      <ext xmlns:x15="http://schemas.microsoft.com/office/spreadsheetml/2010/11/main" uri="{DE250136-89BD-433C-8126-D09CA5730AF9}">
        <x15:connection id="logistics 1" autoDelete="1">
          <x15:rangePr sourceName="_xlcn.WorksheetConnection_Book1logistics1"/>
        </x15:connection>
      </ext>
    </extLst>
  </connection>
  <connection id="11" xr16:uid="{CA5DF71A-DD2E-43A3-94DF-BEA5262169B7}"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s>
</file>

<file path=xl/sharedStrings.xml><?xml version="1.0" encoding="utf-8"?>
<sst xmlns="http://schemas.openxmlformats.org/spreadsheetml/2006/main" count="961" uniqueCount="149">
  <si>
    <t>OrderID</t>
  </si>
  <si>
    <t>Product_Category</t>
  </si>
  <si>
    <t>Destination_Zone</t>
  </si>
  <si>
    <t>Customer_Type</t>
  </si>
  <si>
    <t>ORD-001</t>
  </si>
  <si>
    <t>Electronics</t>
  </si>
  <si>
    <t>North</t>
  </si>
  <si>
    <t>Corporate</t>
  </si>
  <si>
    <t>ORD-002</t>
  </si>
  <si>
    <t>Apparel</t>
  </si>
  <si>
    <t>South</t>
  </si>
  <si>
    <t>Retail</t>
  </si>
  <si>
    <t>ORD-003</t>
  </si>
  <si>
    <t>West</t>
  </si>
  <si>
    <t>ORD-004</t>
  </si>
  <si>
    <t>Home Decor</t>
  </si>
  <si>
    <t>East</t>
  </si>
  <si>
    <t>ORD-005</t>
  </si>
  <si>
    <t>E-commerce</t>
  </si>
  <si>
    <t>ORD-006</t>
  </si>
  <si>
    <t>ORD-007</t>
  </si>
  <si>
    <t>ORD-008</t>
  </si>
  <si>
    <t>ORD-009</t>
  </si>
  <si>
    <t>ORD-010</t>
  </si>
  <si>
    <t>ORD-011</t>
  </si>
  <si>
    <t>ORD-012</t>
  </si>
  <si>
    <t>ORD-013</t>
  </si>
  <si>
    <t>ORD-014</t>
  </si>
  <si>
    <t>ORD-015</t>
  </si>
  <si>
    <t>ORD-016</t>
  </si>
  <si>
    <t>ORD-017</t>
  </si>
  <si>
    <t>ORD-018</t>
  </si>
  <si>
    <t>ORD-019</t>
  </si>
  <si>
    <t>ORD-020</t>
  </si>
  <si>
    <t>ORD-021</t>
  </si>
  <si>
    <t>ORD-022</t>
  </si>
  <si>
    <t>ORD-023</t>
  </si>
  <si>
    <t>ORD-024</t>
  </si>
  <si>
    <t>ORD-025</t>
  </si>
  <si>
    <t>ORD-026</t>
  </si>
  <si>
    <t>ORD-027</t>
  </si>
  <si>
    <t>ORD-028</t>
  </si>
  <si>
    <t>ORD-029</t>
  </si>
  <si>
    <t>ORD-030</t>
  </si>
  <si>
    <t>ORD-031</t>
  </si>
  <si>
    <t>ORD-032</t>
  </si>
  <si>
    <t>ORD-033</t>
  </si>
  <si>
    <t>ORD-034</t>
  </si>
  <si>
    <t>ORD-035</t>
  </si>
  <si>
    <t>ORD-036</t>
  </si>
  <si>
    <t>ORD-037</t>
  </si>
  <si>
    <t>ORD-038</t>
  </si>
  <si>
    <t>ORD-039</t>
  </si>
  <si>
    <t>ORD-040</t>
  </si>
  <si>
    <t>ORD-041</t>
  </si>
  <si>
    <t>ORD-042</t>
  </si>
  <si>
    <t>ORD-043</t>
  </si>
  <si>
    <t>ORD-044</t>
  </si>
  <si>
    <t>ORD-045</t>
  </si>
  <si>
    <t>ORD-046</t>
  </si>
  <si>
    <t>ORD-047</t>
  </si>
  <si>
    <t>ORD-048</t>
  </si>
  <si>
    <t>ORD-049</t>
  </si>
  <si>
    <t>ORD-050</t>
  </si>
  <si>
    <t>ORD-051</t>
  </si>
  <si>
    <t>ORD-052</t>
  </si>
  <si>
    <t>ORD-053</t>
  </si>
  <si>
    <t>ORD-054</t>
  </si>
  <si>
    <t>ORD-055</t>
  </si>
  <si>
    <t>ORD-056</t>
  </si>
  <si>
    <t>ORD-057</t>
  </si>
  <si>
    <t>ORD-058</t>
  </si>
  <si>
    <t>ORD-059</t>
  </si>
  <si>
    <t>ORD-060</t>
  </si>
  <si>
    <t>ORD-061</t>
  </si>
  <si>
    <t>ORD-062</t>
  </si>
  <si>
    <t>ORD-063</t>
  </si>
  <si>
    <t>ORD-064</t>
  </si>
  <si>
    <t>ORD-065</t>
  </si>
  <si>
    <t>ORD-066</t>
  </si>
  <si>
    <t>ORD-067</t>
  </si>
  <si>
    <t>ORD-068</t>
  </si>
  <si>
    <t>ORD-069</t>
  </si>
  <si>
    <t>ORD-070</t>
  </si>
  <si>
    <t>ORD-071</t>
  </si>
  <si>
    <t>ORD-072</t>
  </si>
  <si>
    <t>ORD-073</t>
  </si>
  <si>
    <t>ORD-074</t>
  </si>
  <si>
    <t>ORD-075</t>
  </si>
  <si>
    <t>ORD-076</t>
  </si>
  <si>
    <t>ORD-077</t>
  </si>
  <si>
    <t>ORD-078</t>
  </si>
  <si>
    <t>ORD-079</t>
  </si>
  <si>
    <t>ORD-080</t>
  </si>
  <si>
    <t>ORD-081</t>
  </si>
  <si>
    <t>ORD-082</t>
  </si>
  <si>
    <t>ORD-083</t>
  </si>
  <si>
    <t>ORD-084</t>
  </si>
  <si>
    <t>ORD-085</t>
  </si>
  <si>
    <t>ORD-086</t>
  </si>
  <si>
    <t>ORD-087</t>
  </si>
  <si>
    <t>ORD-088</t>
  </si>
  <si>
    <t>ORD-089</t>
  </si>
  <si>
    <t>ORD-090</t>
  </si>
  <si>
    <t>ORD-091</t>
  </si>
  <si>
    <t>ORD-092</t>
  </si>
  <si>
    <t>ORD-093</t>
  </si>
  <si>
    <t>ORD-094</t>
  </si>
  <si>
    <t>ORD-095</t>
  </si>
  <si>
    <t>ORD-096</t>
  </si>
  <si>
    <t>ORD-097</t>
  </si>
  <si>
    <t>ORD-098</t>
  </si>
  <si>
    <t>ORD-099</t>
  </si>
  <si>
    <t>ORD-100</t>
  </si>
  <si>
    <t>Carrier</t>
  </si>
  <si>
    <t>Order_Date</t>
  </si>
  <si>
    <t>Promised_Delivery_Days</t>
  </si>
  <si>
    <t>Actual_Delivery_Date</t>
  </si>
  <si>
    <t>Shipping_Cost</t>
  </si>
  <si>
    <t>Actual_transit_days</t>
  </si>
  <si>
    <t>Delivery_status</t>
  </si>
  <si>
    <t>BlueDart</t>
  </si>
  <si>
    <t>On time</t>
  </si>
  <si>
    <t>FedEx</t>
  </si>
  <si>
    <t>Late</t>
  </si>
  <si>
    <t>DHL</t>
  </si>
  <si>
    <t>What percentage of our total shipments are actually being delivered on time versus late?</t>
  </si>
  <si>
    <t>The Metric: Total On-Time Shipments vs. Total Late Shipments, and the overall On-Time Delivery (OTD) rate as a percentage.</t>
  </si>
  <si>
    <t>Which shipping carrier is failing to meet their promised delivery windows the most?</t>
  </si>
  <si>
    <t>The Metric: A breakdown of late shipments categorized by each carrier (BlueDart, FedEx, DHL).</t>
  </si>
  <si>
    <t>Which geographic zones are costing us the most money in freight expenses, and does higher cost guarantee faster delivery?</t>
  </si>
  <si>
    <t>The Metric: Total shipping cost broken down by Destination Zone (North, South, East, West) compared against their average delivery days.</t>
  </si>
  <si>
    <t>Are our premium Corporate clients experiencing worse delays than standard Retail or E-commerce clients?</t>
  </si>
  <si>
    <t>The Metric: Late delivery count broken down by Customer Type.</t>
  </si>
  <si>
    <t>What is our average order cycle time (how many days does an order take from the moment it’s placed to the moment it hits the doorstep)?</t>
  </si>
  <si>
    <t>The Metric: The average number of days between Order_Date and Actual_Delivery_Date.</t>
  </si>
  <si>
    <t>Row Labels</t>
  </si>
  <si>
    <t>Grand Total</t>
  </si>
  <si>
    <t>Count of OrderID</t>
  </si>
  <si>
    <t>Count of OrderID2</t>
  </si>
  <si>
    <t>Column Labels</t>
  </si>
  <si>
    <t>Average Delivery Days</t>
  </si>
  <si>
    <t>Average Order Cycle Time</t>
  </si>
  <si>
    <t xml:space="preserve"> 1. Delivery Performance (The Efficiency Question)</t>
  </si>
  <si>
    <t>2. Carrier Reliability (The Accountability Question)</t>
  </si>
  <si>
    <t xml:space="preserve"> 3. Financial Impact (The Cost Leakage Question)</t>
  </si>
  <si>
    <t xml:space="preserve"> 4. High-Risk Bottlenecks (The Customer Experience Question)</t>
  </si>
  <si>
    <t xml:space="preserve"> 5. Order Cycle Velocity (The Speed Question)</t>
  </si>
  <si>
    <t>Supply Chain Logistics &amp; Fulfillment Optimization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</si>
</sst>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00_ ;_-[$$-409]* \-#,##0.00\ ;_-[$$-409]* &quot;-&quot;??_ ;_-@_ "/>
    <numFmt numFmtId="165" formatCode="0.0"/>
  </numFmts>
  <fonts count="3" x14ac:knownFonts="1">
    <font>
      <sz val="11"/>
      <color theme="1"/>
      <name val="Aptos Narrow"/>
      <family val="2"/>
      <scheme val="minor"/>
    </font>
    <font>
      <sz val="14"/>
      <color theme="1"/>
      <name val="Aptos Narrow"/>
      <family val="2"/>
      <scheme val="minor"/>
    </font>
    <font>
      <b/>
      <i/>
      <sz val="16"/>
      <color theme="2"/>
      <name val="Aptos Narrow"/>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165" fontId="0" fillId="0" borderId="0" xfId="0" applyNumberFormat="1"/>
    <xf numFmtId="0" fontId="2" fillId="2" borderId="0" xfId="0" applyFont="1" applyFill="1" applyAlignment="1">
      <alignment horizontal="center"/>
    </xf>
    <xf numFmtId="0" fontId="1" fillId="0" borderId="0" xfId="0" applyFont="1" applyAlignment="1">
      <alignment horizontal="center"/>
    </xf>
  </cellXfs>
  <cellStyles count="1">
    <cellStyle name="Normal" xfId="0" builtinId="0"/>
  </cellStyles>
  <dxfs count="11">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2.xml"/><Relationship Id="rId18" Type="http://schemas.openxmlformats.org/officeDocument/2006/relationships/styles" Target="styles.xml"/><Relationship Id="rId26" Type="http://schemas.openxmlformats.org/officeDocument/2006/relationships/customXml" Target="../customXml/item6.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pivotCacheDefinition" Target="pivotCache/pivotCacheDefinition2.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4.xml"/><Relationship Id="rId5" Type="http://schemas.openxmlformats.org/officeDocument/2006/relationships/worksheet" Target="worksheets/sheet5.xml"/><Relationship Id="rId15" Type="http://schemas.microsoft.com/office/2011/relationships/timelineCache" Target="timelineCaches/timelineCache1.xml"/><Relationship Id="rId23" Type="http://schemas.openxmlformats.org/officeDocument/2006/relationships/customXml" Target="../customXml/item3.xml"/><Relationship Id="rId10" Type="http://schemas.openxmlformats.org/officeDocument/2006/relationships/pivotCacheDefinition" Target="pivotCache/pivotCacheDefinition5.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7.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Table!PivotTable1</c:name>
    <c:fmtId val="4"/>
  </c:pivotSource>
  <c:chart>
    <c:title>
      <c:tx>
        <c:rich>
          <a:bodyPr rot="0" spcFirstLastPara="1" vertOverflow="ellipsis" vert="horz" wrap="square" anchor="ctr" anchorCtr="1"/>
          <a:lstStyle/>
          <a:p>
            <a:pPr algn="ctr">
              <a:defRPr sz="1800" b="1" i="1" u="none" strike="noStrike" kern="1200" baseline="0">
                <a:solidFill>
                  <a:schemeClr val="dk1">
                    <a:lumMod val="75000"/>
                    <a:lumOff val="25000"/>
                  </a:schemeClr>
                </a:solidFill>
                <a:latin typeface="+mn-lt"/>
                <a:ea typeface="+mn-ea"/>
                <a:cs typeface="+mn-cs"/>
              </a:defRPr>
            </a:pPr>
            <a:r>
              <a:rPr lang="en-US" i="1"/>
              <a:t>Delivery</a:t>
            </a:r>
            <a:r>
              <a:rPr lang="en-US" i="1" baseline="0"/>
              <a:t> Performance</a:t>
            </a:r>
            <a:endParaRPr lang="en-US" i="1"/>
          </a:p>
        </c:rich>
      </c:tx>
      <c:layout>
        <c:manualLayout>
          <c:xMode val="edge"/>
          <c:yMode val="edge"/>
          <c:x val="0.13289886471291681"/>
          <c:y val="3.8986354775828458E-2"/>
        </c:manualLayout>
      </c:layout>
      <c:overlay val="0"/>
      <c:spPr>
        <a:noFill/>
        <a:ln>
          <a:noFill/>
        </a:ln>
        <a:effectLst/>
      </c:spPr>
      <c:txPr>
        <a:bodyPr rot="0" spcFirstLastPara="1" vertOverflow="ellipsis" vert="horz" wrap="square" anchor="ctr" anchorCtr="1"/>
        <a:lstStyle/>
        <a:p>
          <a:pPr algn="ctr">
            <a:defRPr sz="1800" b="1" i="1"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pPr>
            <a:solidFill>
              <a:schemeClr val="accent2">
                <a:alpha val="85000"/>
              </a:schemeClr>
            </a:solidFill>
            <a:ln>
              <a:no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a:outerShdw blurRad="254000" sx="102000" sy="102000" algn="ctr" rotWithShape="0">
              <a:prstClr val="black">
                <a:alpha val="20000"/>
              </a:prstClr>
            </a:outerShdw>
          </a:effectLst>
        </c:spPr>
      </c:pivotFmt>
      <c:pivotFmt>
        <c:idx val="3"/>
        <c:spPr>
          <a:solidFill>
            <a:schemeClr val="accent2">
              <a:lumMod val="75000"/>
            </a:schemeClr>
          </a:solidFill>
          <a:ln>
            <a:noFill/>
          </a:ln>
          <a:effectLst>
            <a:outerShdw blurRad="254000" sx="102000" sy="102000" algn="ctr" rotWithShape="0">
              <a:prstClr val="black">
                <a:alpha val="20000"/>
              </a:prstClr>
            </a:outerShdw>
          </a:effectLst>
        </c:spPr>
      </c:pivotFmt>
      <c:pivotFmt>
        <c:idx val="4"/>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2">
              <a:lumMod val="75000"/>
            </a:schemeClr>
          </a:solidFill>
          <a:ln>
            <a:noFill/>
          </a:ln>
          <a:effectLst>
            <a:outerShdw blurRad="254000" sx="102000" sy="102000" algn="ctr" rotWithShape="0">
              <a:prstClr val="black">
                <a:alpha val="20000"/>
              </a:prstClr>
            </a:outerShdw>
          </a:effectLst>
        </c:spPr>
      </c:pivotFmt>
      <c:pivotFmt>
        <c:idx val="6"/>
        <c:spPr>
          <a:solidFill>
            <a:schemeClr val="accent1">
              <a:lumMod val="40000"/>
              <a:lumOff val="60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2961942257217852"/>
          <c:y val="0.20886632591978635"/>
          <c:w val="0.42560987831066566"/>
          <c:h val="0.68446033061656752"/>
        </c:manualLayout>
      </c:layout>
      <c:doughnutChart>
        <c:varyColors val="1"/>
        <c:ser>
          <c:idx val="0"/>
          <c:order val="0"/>
          <c:tx>
            <c:strRef>
              <c:f>'Pivot Table'!$B$3</c:f>
              <c:strCache>
                <c:ptCount val="1"/>
                <c:pt idx="0">
                  <c:v>Total</c:v>
                </c:pt>
              </c:strCache>
            </c:strRef>
          </c:tx>
          <c:dPt>
            <c:idx val="0"/>
            <c:bubble3D val="0"/>
            <c:spPr>
              <a:solidFill>
                <a:schemeClr val="accent2">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C01-42F9-861B-035985085059}"/>
              </c:ext>
            </c:extLst>
          </c:dPt>
          <c:dPt>
            <c:idx val="1"/>
            <c:bubble3D val="0"/>
            <c:spPr>
              <a:solidFill>
                <a:schemeClr val="accent1">
                  <a:lumMod val="40000"/>
                  <a:lumOff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C01-42F9-861B-03598508505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Table'!$A$4:$A$6</c:f>
              <c:strCache>
                <c:ptCount val="2"/>
                <c:pt idx="0">
                  <c:v>Late</c:v>
                </c:pt>
                <c:pt idx="1">
                  <c:v>On time</c:v>
                </c:pt>
              </c:strCache>
            </c:strRef>
          </c:cat>
          <c:val>
            <c:numRef>
              <c:f>'Pivot Table'!$B$4:$B$6</c:f>
              <c:numCache>
                <c:formatCode>0.00%</c:formatCode>
                <c:ptCount val="2"/>
                <c:pt idx="0">
                  <c:v>0.47</c:v>
                </c:pt>
                <c:pt idx="1">
                  <c:v>0.53</c:v>
                </c:pt>
              </c:numCache>
            </c:numRef>
          </c:val>
          <c:extLst>
            <c:ext xmlns:c16="http://schemas.microsoft.com/office/drawing/2014/chart" uri="{C3380CC4-5D6E-409C-BE32-E72D297353CC}">
              <c16:uniqueId val="{00000007-A46F-4FD7-85FE-936C8E611453}"/>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Table!PivotTable2</c:name>
    <c:fmtId val="8"/>
  </c:pivotSource>
  <c:chart>
    <c:title>
      <c:tx>
        <c:rich>
          <a:bodyPr rot="0" spcFirstLastPara="1" vertOverflow="ellipsis" vert="horz" wrap="square" anchor="ctr" anchorCtr="1"/>
          <a:lstStyle/>
          <a:p>
            <a:pPr>
              <a:defRPr sz="1800" b="1" i="1" u="none" strike="noStrike" kern="1200" spc="0" baseline="0">
                <a:solidFill>
                  <a:schemeClr val="tx1">
                    <a:lumMod val="65000"/>
                    <a:lumOff val="35000"/>
                  </a:schemeClr>
                </a:solidFill>
                <a:latin typeface="+mn-lt"/>
                <a:ea typeface="+mn-ea"/>
                <a:cs typeface="+mn-cs"/>
              </a:defRPr>
            </a:pPr>
            <a:r>
              <a:rPr lang="en-IN" sz="1800" b="1" i="1"/>
              <a:t>Carrier</a:t>
            </a:r>
            <a:r>
              <a:rPr lang="en-IN" sz="1800" b="1" i="1" baseline="0"/>
              <a:t> Reliability (late)</a:t>
            </a:r>
            <a:endParaRPr lang="en-IN" sz="1800" b="1" i="1"/>
          </a:p>
        </c:rich>
      </c:tx>
      <c:overlay val="0"/>
      <c:spPr>
        <a:noFill/>
        <a:ln>
          <a:noFill/>
        </a:ln>
        <a:effectLst/>
      </c:spPr>
      <c:txPr>
        <a:bodyPr rot="0" spcFirstLastPara="1" vertOverflow="ellipsis" vert="horz" wrap="square" anchor="ctr" anchorCtr="1"/>
        <a:lstStyle/>
        <a:p>
          <a:pPr>
            <a:defRPr sz="1800" b="1"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Table'!$B$16:$B$18</c:f>
              <c:strCache>
                <c:ptCount val="1"/>
                <c:pt idx="0">
                  <c:v>Late - Count of OrderID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Table'!$A$19:$A$22</c:f>
              <c:strCache>
                <c:ptCount val="3"/>
                <c:pt idx="0">
                  <c:v>BlueDart</c:v>
                </c:pt>
                <c:pt idx="1">
                  <c:v>DHL</c:v>
                </c:pt>
                <c:pt idx="2">
                  <c:v>FedEx</c:v>
                </c:pt>
              </c:strCache>
            </c:strRef>
          </c:cat>
          <c:val>
            <c:numRef>
              <c:f>'Pivot Table'!$B$19:$B$22</c:f>
              <c:numCache>
                <c:formatCode>General</c:formatCode>
                <c:ptCount val="3"/>
                <c:pt idx="0">
                  <c:v>21</c:v>
                </c:pt>
                <c:pt idx="1">
                  <c:v>8</c:v>
                </c:pt>
                <c:pt idx="2">
                  <c:v>18</c:v>
                </c:pt>
              </c:numCache>
            </c:numRef>
          </c:val>
          <c:extLst>
            <c:ext xmlns:c16="http://schemas.microsoft.com/office/drawing/2014/chart" uri="{C3380CC4-5D6E-409C-BE32-E72D297353CC}">
              <c16:uniqueId val="{00000000-8B82-4813-8282-26D34FF93B8C}"/>
            </c:ext>
          </c:extLst>
        </c:ser>
        <c:ser>
          <c:idx val="1"/>
          <c:order val="1"/>
          <c:tx>
            <c:strRef>
              <c:f>'Pivot Table'!$C$16:$C$18</c:f>
              <c:strCache>
                <c:ptCount val="1"/>
                <c:pt idx="0">
                  <c:v>Late - Count of OrderID2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Table'!$A$19:$A$22</c:f>
              <c:strCache>
                <c:ptCount val="3"/>
                <c:pt idx="0">
                  <c:v>BlueDart</c:v>
                </c:pt>
                <c:pt idx="1">
                  <c:v>DHL</c:v>
                </c:pt>
                <c:pt idx="2">
                  <c:v>FedEx</c:v>
                </c:pt>
              </c:strCache>
            </c:strRef>
          </c:cat>
          <c:val>
            <c:numRef>
              <c:f>'Pivot Table'!$C$19:$C$22</c:f>
              <c:numCache>
                <c:formatCode>0.00%</c:formatCode>
                <c:ptCount val="3"/>
                <c:pt idx="0">
                  <c:v>0.44680851063829785</c:v>
                </c:pt>
                <c:pt idx="1">
                  <c:v>0.1702127659574468</c:v>
                </c:pt>
                <c:pt idx="2">
                  <c:v>0.38297872340425532</c:v>
                </c:pt>
              </c:numCache>
            </c:numRef>
          </c:val>
          <c:extLst>
            <c:ext xmlns:c16="http://schemas.microsoft.com/office/drawing/2014/chart" uri="{C3380CC4-5D6E-409C-BE32-E72D297353CC}">
              <c16:uniqueId val="{00000001-8B82-4813-8282-26D34FF93B8C}"/>
            </c:ext>
          </c:extLst>
        </c:ser>
        <c:dLbls>
          <c:showLegendKey val="0"/>
          <c:showVal val="1"/>
          <c:showCatName val="0"/>
          <c:showSerName val="0"/>
          <c:showPercent val="0"/>
          <c:showBubbleSize val="0"/>
        </c:dLbls>
        <c:gapWidth val="182"/>
        <c:axId val="1254118400"/>
        <c:axId val="1254119840"/>
      </c:barChart>
      <c:catAx>
        <c:axId val="1254118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119840"/>
        <c:crosses val="autoZero"/>
        <c:auto val="1"/>
        <c:lblAlgn val="ctr"/>
        <c:lblOffset val="100"/>
        <c:noMultiLvlLbl val="0"/>
      </c:catAx>
      <c:valAx>
        <c:axId val="1254119840"/>
        <c:scaling>
          <c:orientation val="minMax"/>
        </c:scaling>
        <c:delete val="1"/>
        <c:axPos val="b"/>
        <c:numFmt formatCode="General" sourceLinked="1"/>
        <c:majorTickMark val="none"/>
        <c:minorTickMark val="none"/>
        <c:tickLblPos val="nextTo"/>
        <c:crossAx val="1254118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1"/>
              <a:t>Financial</a:t>
            </a:r>
            <a:r>
              <a:rPr lang="en-IN" sz="1800" b="1" i="1" baseline="0"/>
              <a:t> Impact</a:t>
            </a:r>
            <a:endParaRPr lang="en-IN" sz="1800" b="1" i="1"/>
          </a:p>
        </c:rich>
      </c:tx>
      <c:layout>
        <c:manualLayout>
          <c:xMode val="edge"/>
          <c:yMode val="edge"/>
          <c:x val="0.38607982298176852"/>
          <c:y val="4.6860356138706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1">
              <a:lumMod val="60000"/>
              <a:lumOff val="40000"/>
            </a:schemeClr>
          </a:solidFill>
          <a:ln>
            <a:noFill/>
          </a:ln>
          <a:effectLst/>
        </c:spPr>
      </c:pivotFmt>
      <c:pivotFmt>
        <c:idx val="5"/>
        <c:spPr>
          <a:solidFill>
            <a:schemeClr val="accent1">
              <a:lumMod val="60000"/>
              <a:lumOff val="40000"/>
            </a:schemeClr>
          </a:solidFill>
          <a:ln>
            <a:noFill/>
          </a:ln>
          <a:effectLst/>
        </c:spPr>
      </c:pivotFmt>
      <c:pivotFmt>
        <c:idx val="6"/>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2864940389913885E-2"/>
              <c:y val="-2.6888742937122914E-3"/>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2421524663677129E-2"/>
              <c:y val="6.56044985941893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4877927254608872E-2"/>
              <c:y val="3.7488284910965265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layout>
            <c:manualLayout>
              <c:x val="5.2864940389913885E-2"/>
              <c:y val="-2.6888742937122914E-3"/>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layout>
            <c:manualLayout>
              <c:x val="2.2421524663677129E-2"/>
              <c:y val="6.56044985941893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layout>
            <c:manualLayout>
              <c:x val="3.4877927254608872E-2"/>
              <c:y val="3.7488284910965265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7960799651683651"/>
          <c:w val="0.69725132277681934"/>
          <c:h val="0.75366998993916778"/>
        </c:manualLayout>
      </c:layout>
      <c:barChart>
        <c:barDir val="col"/>
        <c:grouping val="clustered"/>
        <c:varyColors val="0"/>
        <c:ser>
          <c:idx val="0"/>
          <c:order val="0"/>
          <c:tx>
            <c:strRef>
              <c:f>'Pivot Table'!$B$27</c:f>
              <c:strCache>
                <c:ptCount val="1"/>
                <c:pt idx="0">
                  <c:v>Shipping_Cost</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Table'!$A$28:$A$32</c:f>
              <c:strCache>
                <c:ptCount val="4"/>
                <c:pt idx="0">
                  <c:v>East</c:v>
                </c:pt>
                <c:pt idx="1">
                  <c:v>North</c:v>
                </c:pt>
                <c:pt idx="2">
                  <c:v>South</c:v>
                </c:pt>
                <c:pt idx="3">
                  <c:v>West</c:v>
                </c:pt>
              </c:strCache>
            </c:strRef>
          </c:cat>
          <c:val>
            <c:numRef>
              <c:f>'Pivot Table'!$B$28:$B$32</c:f>
              <c:numCache>
                <c:formatCode>General</c:formatCode>
                <c:ptCount val="4"/>
                <c:pt idx="0">
                  <c:v>70050</c:v>
                </c:pt>
                <c:pt idx="1">
                  <c:v>67590</c:v>
                </c:pt>
                <c:pt idx="2">
                  <c:v>75640</c:v>
                </c:pt>
                <c:pt idx="3">
                  <c:v>88020</c:v>
                </c:pt>
              </c:numCache>
            </c:numRef>
          </c:val>
          <c:extLst>
            <c:ext xmlns:c16="http://schemas.microsoft.com/office/drawing/2014/chart" uri="{C3380CC4-5D6E-409C-BE32-E72D297353CC}">
              <c16:uniqueId val="{00000008-CCB9-4241-B9F1-5117EE7F697C}"/>
            </c:ext>
          </c:extLst>
        </c:ser>
        <c:dLbls>
          <c:showLegendKey val="0"/>
          <c:showVal val="1"/>
          <c:showCatName val="0"/>
          <c:showSerName val="0"/>
          <c:showPercent val="0"/>
          <c:showBubbleSize val="0"/>
        </c:dLbls>
        <c:gapWidth val="150"/>
        <c:axId val="1587150832"/>
        <c:axId val="1587149392"/>
      </c:barChart>
      <c:lineChart>
        <c:grouping val="standard"/>
        <c:varyColors val="0"/>
        <c:ser>
          <c:idx val="1"/>
          <c:order val="1"/>
          <c:tx>
            <c:strRef>
              <c:f>'Pivot Table'!$C$27</c:f>
              <c:strCache>
                <c:ptCount val="1"/>
                <c:pt idx="0">
                  <c:v>Average Delivery Days</c:v>
                </c:pt>
              </c:strCache>
            </c:strRef>
          </c:tx>
          <c:spPr>
            <a:ln w="28575" cap="rnd">
              <a:solidFill>
                <a:schemeClr val="accent2"/>
              </a:solidFill>
              <a:round/>
            </a:ln>
            <a:effectLst/>
          </c:spPr>
          <c:marker>
            <c:symbol val="none"/>
          </c:marker>
          <c:dPt>
            <c:idx val="1"/>
            <c:marker>
              <c:symbol val="none"/>
            </c:marker>
            <c:bubble3D val="0"/>
            <c:extLst>
              <c:ext xmlns:c16="http://schemas.microsoft.com/office/drawing/2014/chart" uri="{C3380CC4-5D6E-409C-BE32-E72D297353CC}">
                <c16:uniqueId val="{00000000-E999-4319-96FE-F115F5497355}"/>
              </c:ext>
            </c:extLst>
          </c:dPt>
          <c:dPt>
            <c:idx val="2"/>
            <c:marker>
              <c:symbol val="none"/>
            </c:marker>
            <c:bubble3D val="0"/>
            <c:extLst>
              <c:ext xmlns:c16="http://schemas.microsoft.com/office/drawing/2014/chart" uri="{C3380CC4-5D6E-409C-BE32-E72D297353CC}">
                <c16:uniqueId val="{00000001-E999-4319-96FE-F115F5497355}"/>
              </c:ext>
            </c:extLst>
          </c:dPt>
          <c:dPt>
            <c:idx val="3"/>
            <c:marker>
              <c:symbol val="none"/>
            </c:marker>
            <c:bubble3D val="0"/>
            <c:extLst>
              <c:ext xmlns:c16="http://schemas.microsoft.com/office/drawing/2014/chart" uri="{C3380CC4-5D6E-409C-BE32-E72D297353CC}">
                <c16:uniqueId val="{00000002-E999-4319-96FE-F115F5497355}"/>
              </c:ext>
            </c:extLst>
          </c:dPt>
          <c:dLbls>
            <c:dLbl>
              <c:idx val="1"/>
              <c:layout>
                <c:manualLayout>
                  <c:x val="5.2864940389913885E-2"/>
                  <c:y val="-2.688874293712291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999-4319-96FE-F115F5497355}"/>
                </c:ext>
              </c:extLst>
            </c:dLbl>
            <c:dLbl>
              <c:idx val="2"/>
              <c:layout>
                <c:manualLayout>
                  <c:x val="2.2421524663677129E-2"/>
                  <c:y val="6.5604498594189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999-4319-96FE-F115F5497355}"/>
                </c:ext>
              </c:extLst>
            </c:dLbl>
            <c:dLbl>
              <c:idx val="3"/>
              <c:layout>
                <c:manualLayout>
                  <c:x val="3.4877927254608872E-2"/>
                  <c:y val="3.74882849109652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999-4319-96FE-F115F5497355}"/>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Table'!$A$28:$A$32</c:f>
              <c:strCache>
                <c:ptCount val="4"/>
                <c:pt idx="0">
                  <c:v>East</c:v>
                </c:pt>
                <c:pt idx="1">
                  <c:v>North</c:v>
                </c:pt>
                <c:pt idx="2">
                  <c:v>South</c:v>
                </c:pt>
                <c:pt idx="3">
                  <c:v>West</c:v>
                </c:pt>
              </c:strCache>
            </c:strRef>
          </c:cat>
          <c:val>
            <c:numRef>
              <c:f>'Pivot Table'!$C$28:$C$32</c:f>
              <c:numCache>
                <c:formatCode>0.0</c:formatCode>
                <c:ptCount val="4"/>
                <c:pt idx="0">
                  <c:v>4.5199999999999996</c:v>
                </c:pt>
                <c:pt idx="1">
                  <c:v>2.96</c:v>
                </c:pt>
                <c:pt idx="2">
                  <c:v>3.76</c:v>
                </c:pt>
                <c:pt idx="3">
                  <c:v>3.68</c:v>
                </c:pt>
              </c:numCache>
            </c:numRef>
          </c:val>
          <c:smooth val="0"/>
          <c:extLst>
            <c:ext xmlns:c16="http://schemas.microsoft.com/office/drawing/2014/chart" uri="{C3380CC4-5D6E-409C-BE32-E72D297353CC}">
              <c16:uniqueId val="{00000009-CCB9-4241-B9F1-5117EE7F697C}"/>
            </c:ext>
          </c:extLst>
        </c:ser>
        <c:dLbls>
          <c:showLegendKey val="0"/>
          <c:showVal val="0"/>
          <c:showCatName val="0"/>
          <c:showSerName val="0"/>
          <c:showPercent val="0"/>
          <c:showBubbleSize val="0"/>
        </c:dLbls>
        <c:marker val="1"/>
        <c:smooth val="0"/>
        <c:axId val="693781551"/>
        <c:axId val="693792111"/>
      </c:lineChart>
      <c:catAx>
        <c:axId val="15871508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149392"/>
        <c:crosses val="autoZero"/>
        <c:auto val="1"/>
        <c:lblAlgn val="ctr"/>
        <c:lblOffset val="100"/>
        <c:noMultiLvlLbl val="0"/>
      </c:catAx>
      <c:valAx>
        <c:axId val="158714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150832"/>
        <c:crosses val="autoZero"/>
        <c:crossBetween val="between"/>
      </c:valAx>
      <c:valAx>
        <c:axId val="693792111"/>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781551"/>
        <c:crosses val="max"/>
        <c:crossBetween val="between"/>
      </c:valAx>
      <c:catAx>
        <c:axId val="693781551"/>
        <c:scaling>
          <c:orientation val="minMax"/>
        </c:scaling>
        <c:delete val="1"/>
        <c:axPos val="b"/>
        <c:numFmt formatCode="General" sourceLinked="1"/>
        <c:majorTickMark val="out"/>
        <c:minorTickMark val="none"/>
        <c:tickLblPos val="nextTo"/>
        <c:crossAx val="693792111"/>
        <c:crosses val="autoZero"/>
        <c:auto val="1"/>
        <c:lblAlgn val="ctr"/>
        <c:lblOffset val="100"/>
        <c:noMultiLvlLbl val="0"/>
      </c:catAx>
      <c:spPr>
        <a:noFill/>
        <a:ln>
          <a:noFill/>
        </a:ln>
        <a:effectLst/>
      </c:spPr>
    </c:plotArea>
    <c:legend>
      <c:legendPos val="r"/>
      <c:layout>
        <c:manualLayout>
          <c:xMode val="edge"/>
          <c:yMode val="edge"/>
          <c:x val="0.83327091576239543"/>
          <c:y val="0.40646451527204841"/>
          <c:w val="0.1582173835100735"/>
          <c:h val="0.106635817442251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1"/>
              <a:t>Client Delays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lumMod val="60000"/>
              <a:lumOff val="40000"/>
            </a:schemeClr>
          </a:solidFill>
          <a:ln>
            <a:noFill/>
          </a:ln>
          <a:effectLst/>
        </c:spPr>
        <c:dLbl>
          <c:idx val="0"/>
          <c:layout>
            <c:manualLayout>
              <c:x val="-6.9687226596675422E-2"/>
              <c:y val="-3.7438028579760862E-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lumMod val="60000"/>
              <a:lumOff val="40000"/>
            </a:schemeClr>
          </a:solidFill>
          <a:ln>
            <a:noFill/>
          </a:ln>
          <a:effectLst/>
        </c:spPr>
        <c:dLbl>
          <c:idx val="0"/>
          <c:layout>
            <c:manualLayout>
              <c:x val="-7.4578083989501318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lumMod val="60000"/>
              <a:lumOff val="40000"/>
            </a:schemeClr>
          </a:solidFill>
          <a:ln>
            <a:noFill/>
          </a:ln>
          <a:effectLst/>
        </c:spPr>
        <c:dLbl>
          <c:idx val="0"/>
          <c:layout>
            <c:manualLayout>
              <c:x val="-4.5603674540682468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lumMod val="60000"/>
              <a:lumOff val="4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lumMod val="60000"/>
              <a:lumOff val="40000"/>
            </a:schemeClr>
          </a:solidFill>
          <a:ln>
            <a:noFill/>
          </a:ln>
          <a:effectLst/>
        </c:spPr>
        <c:dLbl>
          <c:idx val="0"/>
          <c:layout>
            <c:manualLayout>
              <c:x val="-4.5603674540682468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lumMod val="60000"/>
              <a:lumOff val="40000"/>
            </a:schemeClr>
          </a:solidFill>
          <a:ln>
            <a:noFill/>
          </a:ln>
          <a:effectLst/>
        </c:spPr>
        <c:dLbl>
          <c:idx val="0"/>
          <c:layout>
            <c:manualLayout>
              <c:x val="-7.4578083989501318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lumMod val="60000"/>
              <a:lumOff val="40000"/>
            </a:schemeClr>
          </a:solidFill>
          <a:ln>
            <a:noFill/>
          </a:ln>
          <a:effectLst/>
        </c:spPr>
        <c:dLbl>
          <c:idx val="0"/>
          <c:layout>
            <c:manualLayout>
              <c:x val="-6.9687226596675422E-2"/>
              <c:y val="-3.7438028579760862E-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'Pivot Table'!$B$36:$B$37</c:f>
              <c:strCache>
                <c:ptCount val="1"/>
                <c:pt idx="0">
                  <c:v>Late</c:v>
                </c:pt>
              </c:strCache>
            </c:strRef>
          </c:tx>
          <c:spPr>
            <a:solidFill>
              <a:schemeClr val="accent1">
                <a:lumMod val="60000"/>
                <a:lumOff val="40000"/>
              </a:schemeClr>
            </a:solidFill>
            <a:ln>
              <a:noFill/>
            </a:ln>
            <a:effectLst/>
          </c:spPr>
          <c:invertIfNegative val="0"/>
          <c:dPt>
            <c:idx val="0"/>
            <c:invertIfNegative val="0"/>
            <c:bubble3D val="0"/>
            <c:extLst>
              <c:ext xmlns:c16="http://schemas.microsoft.com/office/drawing/2014/chart" uri="{C3380CC4-5D6E-409C-BE32-E72D297353CC}">
                <c16:uniqueId val="{00000000-C65D-4953-8204-56CFCF0B6612}"/>
              </c:ext>
            </c:extLst>
          </c:dPt>
          <c:dPt>
            <c:idx val="1"/>
            <c:invertIfNegative val="0"/>
            <c:bubble3D val="0"/>
            <c:extLst>
              <c:ext xmlns:c16="http://schemas.microsoft.com/office/drawing/2014/chart" uri="{C3380CC4-5D6E-409C-BE32-E72D297353CC}">
                <c16:uniqueId val="{00000001-C65D-4953-8204-56CFCF0B6612}"/>
              </c:ext>
            </c:extLst>
          </c:dPt>
          <c:dPt>
            <c:idx val="2"/>
            <c:invertIfNegative val="0"/>
            <c:bubble3D val="0"/>
            <c:extLst>
              <c:ext xmlns:c16="http://schemas.microsoft.com/office/drawing/2014/chart" uri="{C3380CC4-5D6E-409C-BE32-E72D297353CC}">
                <c16:uniqueId val="{00000002-C65D-4953-8204-56CFCF0B6612}"/>
              </c:ext>
            </c:extLst>
          </c:dPt>
          <c:dLbls>
            <c:dLbl>
              <c:idx val="0"/>
              <c:layout>
                <c:manualLayout>
                  <c:x val="-4.5603674540682468E-2"/>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65D-4953-8204-56CFCF0B6612}"/>
                </c:ext>
              </c:extLst>
            </c:dLbl>
            <c:dLbl>
              <c:idx val="1"/>
              <c:layout>
                <c:manualLayout>
                  <c:x val="-7.4578083989501318E-2"/>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65D-4953-8204-56CFCF0B6612}"/>
                </c:ext>
              </c:extLst>
            </c:dLbl>
            <c:dLbl>
              <c:idx val="2"/>
              <c:layout>
                <c:manualLayout>
                  <c:x val="-6.9687226596675422E-2"/>
                  <c:y val="-3.7438028579760862E-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65D-4953-8204-56CFCF0B661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Table'!$A$38:$A$41</c:f>
              <c:strCache>
                <c:ptCount val="3"/>
                <c:pt idx="0">
                  <c:v>Corporate</c:v>
                </c:pt>
                <c:pt idx="1">
                  <c:v>E-commerce</c:v>
                </c:pt>
                <c:pt idx="2">
                  <c:v>Retail</c:v>
                </c:pt>
              </c:strCache>
            </c:strRef>
          </c:cat>
          <c:val>
            <c:numRef>
              <c:f>'Pivot Table'!$B$38:$B$41</c:f>
              <c:numCache>
                <c:formatCode>General</c:formatCode>
                <c:ptCount val="3"/>
                <c:pt idx="0">
                  <c:v>8</c:v>
                </c:pt>
                <c:pt idx="1">
                  <c:v>20</c:v>
                </c:pt>
                <c:pt idx="2">
                  <c:v>19</c:v>
                </c:pt>
              </c:numCache>
            </c:numRef>
          </c:val>
          <c:extLst>
            <c:ext xmlns:c16="http://schemas.microsoft.com/office/drawing/2014/chart" uri="{C3380CC4-5D6E-409C-BE32-E72D297353CC}">
              <c16:uniqueId val="{00000003-61A3-4B6E-9C55-C90E1D0E3606}"/>
            </c:ext>
          </c:extLst>
        </c:ser>
        <c:dLbls>
          <c:showLegendKey val="0"/>
          <c:showVal val="0"/>
          <c:showCatName val="0"/>
          <c:showSerName val="0"/>
          <c:showPercent val="0"/>
          <c:showBubbleSize val="0"/>
        </c:dLbls>
        <c:gapWidth val="150"/>
        <c:axId val="1592883424"/>
        <c:axId val="1592882944"/>
      </c:barChart>
      <c:catAx>
        <c:axId val="15928834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882944"/>
        <c:crosses val="autoZero"/>
        <c:auto val="1"/>
        <c:lblAlgn val="ctr"/>
        <c:lblOffset val="100"/>
        <c:noMultiLvlLbl val="0"/>
      </c:catAx>
      <c:valAx>
        <c:axId val="1592882944"/>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92883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65000"/>
          <a:lumOff val="3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152400</xdr:colOff>
      <xdr:row>0</xdr:row>
      <xdr:rowOff>114300</xdr:rowOff>
    </xdr:from>
    <xdr:to>
      <xdr:col>11</xdr:col>
      <xdr:colOff>434340</xdr:colOff>
      <xdr:row>15</xdr:row>
      <xdr:rowOff>99060</xdr:rowOff>
    </xdr:to>
    <xdr:graphicFrame macro="">
      <xdr:nvGraphicFramePr>
        <xdr:cNvPr id="2" name="Chart 1">
          <a:extLst>
            <a:ext uri="{FF2B5EF4-FFF2-40B4-BE49-F238E27FC236}">
              <a16:creationId xmlns:a16="http://schemas.microsoft.com/office/drawing/2014/main" id="{5C08857E-1D56-611D-BA8E-989118BBA3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586740</xdr:colOff>
      <xdr:row>0</xdr:row>
      <xdr:rowOff>114300</xdr:rowOff>
    </xdr:from>
    <xdr:to>
      <xdr:col>18</xdr:col>
      <xdr:colOff>213360</xdr:colOff>
      <xdr:row>15</xdr:row>
      <xdr:rowOff>121920</xdr:rowOff>
    </xdr:to>
    <xdr:graphicFrame macro="">
      <xdr:nvGraphicFramePr>
        <xdr:cNvPr id="3" name="Chart 3">
          <a:extLst>
            <a:ext uri="{FF2B5EF4-FFF2-40B4-BE49-F238E27FC236}">
              <a16:creationId xmlns:a16="http://schemas.microsoft.com/office/drawing/2014/main" id="{C79A8AE5-4F7B-49C6-F032-9D297D4D36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106680</xdr:colOff>
      <xdr:row>16</xdr:row>
      <xdr:rowOff>83820</xdr:rowOff>
    </xdr:from>
    <xdr:to>
      <xdr:col>16</xdr:col>
      <xdr:colOff>91440</xdr:colOff>
      <xdr:row>31</xdr:row>
      <xdr:rowOff>15240</xdr:rowOff>
    </xdr:to>
    <xdr:graphicFrame macro="">
      <xdr:nvGraphicFramePr>
        <xdr:cNvPr id="4" name="Chart 4">
          <a:extLst>
            <a:ext uri="{FF2B5EF4-FFF2-40B4-BE49-F238E27FC236}">
              <a16:creationId xmlns:a16="http://schemas.microsoft.com/office/drawing/2014/main" id="{E7C0A42B-19E1-DC8F-9022-BEF035BD14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205740</xdr:colOff>
      <xdr:row>16</xdr:row>
      <xdr:rowOff>72390</xdr:rowOff>
    </xdr:from>
    <xdr:to>
      <xdr:col>23</xdr:col>
      <xdr:colOff>510540</xdr:colOff>
      <xdr:row>30</xdr:row>
      <xdr:rowOff>121920</xdr:rowOff>
    </xdr:to>
    <xdr:graphicFrame macro="">
      <xdr:nvGraphicFramePr>
        <xdr:cNvPr id="5" name="Chart 5">
          <a:extLst>
            <a:ext uri="{FF2B5EF4-FFF2-40B4-BE49-F238E27FC236}">
              <a16:creationId xmlns:a16="http://schemas.microsoft.com/office/drawing/2014/main" id="{824FB5B9-FB48-F532-DC5B-711B766D17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137160</xdr:colOff>
      <xdr:row>9</xdr:row>
      <xdr:rowOff>144780</xdr:rowOff>
    </xdr:from>
    <xdr:to>
      <xdr:col>6</xdr:col>
      <xdr:colOff>167640</xdr:colOff>
      <xdr:row>15</xdr:row>
      <xdr:rowOff>152400</xdr:rowOff>
    </xdr:to>
    <xdr:sp macro="" textlink="">
      <xdr:nvSpPr>
        <xdr:cNvPr id="6" name="Rectangle: Rounded Corners 5">
          <a:extLst>
            <a:ext uri="{FF2B5EF4-FFF2-40B4-BE49-F238E27FC236}">
              <a16:creationId xmlns:a16="http://schemas.microsoft.com/office/drawing/2014/main" id="{7A83F63C-C139-7D4D-B765-7D03CAB93272}"/>
            </a:ext>
          </a:extLst>
        </xdr:cNvPr>
        <xdr:cNvSpPr/>
      </xdr:nvSpPr>
      <xdr:spPr>
        <a:xfrm>
          <a:off x="1478280" y="1836420"/>
          <a:ext cx="2468880" cy="110490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a:solidFill>
                <a:schemeClr val="tx1"/>
              </a:solidFill>
            </a:rPr>
            <a:t>3.7</a:t>
          </a:r>
        </a:p>
        <a:p>
          <a:pPr algn="ctr"/>
          <a:r>
            <a:rPr lang="en-US" sz="1400" b="1" i="1">
              <a:solidFill>
                <a:schemeClr val="tx2">
                  <a:lumMod val="10000"/>
                  <a:lumOff val="90000"/>
                </a:schemeClr>
              </a:solidFill>
            </a:rPr>
            <a:t>Average</a:t>
          </a:r>
          <a:r>
            <a:rPr lang="en-US" sz="1400" b="1" i="1" baseline="0">
              <a:solidFill>
                <a:schemeClr val="tx2">
                  <a:lumMod val="10000"/>
                  <a:lumOff val="90000"/>
                </a:schemeClr>
              </a:solidFill>
            </a:rPr>
            <a:t> Order Cycle Time</a:t>
          </a:r>
          <a:endParaRPr lang="en-US" sz="1400" b="1" i="1">
            <a:solidFill>
              <a:schemeClr val="tx2">
                <a:lumMod val="10000"/>
                <a:lumOff val="90000"/>
              </a:schemeClr>
            </a:solidFill>
          </a:endParaRPr>
        </a:p>
      </xdr:txBody>
    </xdr:sp>
    <xdr:clientData/>
  </xdr:twoCellAnchor>
  <xdr:twoCellAnchor editAs="oneCell">
    <xdr:from>
      <xdr:col>18</xdr:col>
      <xdr:colOff>274320</xdr:colOff>
      <xdr:row>0</xdr:row>
      <xdr:rowOff>106680</xdr:rowOff>
    </xdr:from>
    <xdr:to>
      <xdr:col>23</xdr:col>
      <xdr:colOff>563880</xdr:colOff>
      <xdr:row>7</xdr:row>
      <xdr:rowOff>198120</xdr:rowOff>
    </xdr:to>
    <mc:AlternateContent xmlns:mc="http://schemas.openxmlformats.org/markup-compatibility/2006" xmlns:tsle="http://schemas.microsoft.com/office/drawing/2012/timeslicer">
      <mc:Choice Requires="tsle">
        <xdr:graphicFrame macro="">
          <xdr:nvGraphicFramePr>
            <xdr:cNvPr id="10" name="Order_Date">
              <a:extLst>
                <a:ext uri="{FF2B5EF4-FFF2-40B4-BE49-F238E27FC236}">
                  <a16:creationId xmlns:a16="http://schemas.microsoft.com/office/drawing/2014/main" id="{74BFDC83-FBDF-336F-5D29-78AAAFD0A74C}"/>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1369040" y="10668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236220</xdr:colOff>
      <xdr:row>8</xdr:row>
      <xdr:rowOff>60961</xdr:rowOff>
    </xdr:from>
    <xdr:to>
      <xdr:col>23</xdr:col>
      <xdr:colOff>533400</xdr:colOff>
      <xdr:row>15</xdr:row>
      <xdr:rowOff>99060</xdr:rowOff>
    </xdr:to>
    <mc:AlternateContent xmlns:mc="http://schemas.openxmlformats.org/markup-compatibility/2006" xmlns:a14="http://schemas.microsoft.com/office/drawing/2010/main">
      <mc:Choice Requires="a14">
        <xdr:graphicFrame macro="">
          <xdr:nvGraphicFramePr>
            <xdr:cNvPr id="8" name="OrderID">
              <a:extLst>
                <a:ext uri="{FF2B5EF4-FFF2-40B4-BE49-F238E27FC236}">
                  <a16:creationId xmlns:a16="http://schemas.microsoft.com/office/drawing/2014/main" id="{EBB308E6-9B6B-7509-A84D-3169B5182445}"/>
                </a:ext>
              </a:extLst>
            </xdr:cNvPr>
            <xdr:cNvGraphicFramePr/>
          </xdr:nvGraphicFramePr>
          <xdr:xfrm>
            <a:off x="0" y="0"/>
            <a:ext cx="0" cy="0"/>
          </xdr:xfrm>
          <a:graphic>
            <a:graphicData uri="http://schemas.microsoft.com/office/drawing/2010/slicer">
              <sle:slicer xmlns:sle="http://schemas.microsoft.com/office/drawing/2010/slicer" name="OrderID"/>
            </a:graphicData>
          </a:graphic>
        </xdr:graphicFrame>
      </mc:Choice>
      <mc:Fallback xmlns="">
        <xdr:sp macro="" textlink="">
          <xdr:nvSpPr>
            <xdr:cNvPr id="0" name=""/>
            <xdr:cNvSpPr>
              <a:spLocks noTextEdit="1"/>
            </xdr:cNvSpPr>
          </xdr:nvSpPr>
          <xdr:spPr>
            <a:xfrm>
              <a:off x="13159740" y="1569721"/>
              <a:ext cx="1516380" cy="1318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289560</xdr:colOff>
      <xdr:row>8</xdr:row>
      <xdr:rowOff>68581</xdr:rowOff>
    </xdr:from>
    <xdr:to>
      <xdr:col>21</xdr:col>
      <xdr:colOff>83820</xdr:colOff>
      <xdr:row>15</xdr:row>
      <xdr:rowOff>106680</xdr:rowOff>
    </xdr:to>
    <mc:AlternateContent xmlns:mc="http://schemas.openxmlformats.org/markup-compatibility/2006" xmlns:a14="http://schemas.microsoft.com/office/drawing/2010/main">
      <mc:Choice Requires="a14">
        <xdr:graphicFrame macro="">
          <xdr:nvGraphicFramePr>
            <xdr:cNvPr id="11" name="Actual_transit_days">
              <a:extLst>
                <a:ext uri="{FF2B5EF4-FFF2-40B4-BE49-F238E27FC236}">
                  <a16:creationId xmlns:a16="http://schemas.microsoft.com/office/drawing/2014/main" id="{6473362F-8327-7DE6-18C5-3C64B92EFA39}"/>
                </a:ext>
              </a:extLst>
            </xdr:cNvPr>
            <xdr:cNvGraphicFramePr/>
          </xdr:nvGraphicFramePr>
          <xdr:xfrm>
            <a:off x="0" y="0"/>
            <a:ext cx="0" cy="0"/>
          </xdr:xfrm>
          <a:graphic>
            <a:graphicData uri="http://schemas.microsoft.com/office/drawing/2010/slicer">
              <sle:slicer xmlns:sle="http://schemas.microsoft.com/office/drawing/2010/slicer" name="Actual_transit_days"/>
            </a:graphicData>
          </a:graphic>
        </xdr:graphicFrame>
      </mc:Choice>
      <mc:Fallback xmlns="">
        <xdr:sp macro="" textlink="">
          <xdr:nvSpPr>
            <xdr:cNvPr id="0" name=""/>
            <xdr:cNvSpPr>
              <a:spLocks noTextEdit="1"/>
            </xdr:cNvSpPr>
          </xdr:nvSpPr>
          <xdr:spPr>
            <a:xfrm>
              <a:off x="11384280" y="1577341"/>
              <a:ext cx="1623060" cy="1318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228600</xdr:colOff>
      <xdr:row>0</xdr:row>
      <xdr:rowOff>91440</xdr:rowOff>
    </xdr:from>
    <xdr:to>
      <xdr:col>7</xdr:col>
      <xdr:colOff>68580</xdr:colOff>
      <xdr:row>8</xdr:row>
      <xdr:rowOff>152400</xdr:rowOff>
    </xdr:to>
    <xdr:sp macro="" textlink="">
      <xdr:nvSpPr>
        <xdr:cNvPr id="12" name="Flowchart: Alternate Process 11">
          <a:extLst>
            <a:ext uri="{FF2B5EF4-FFF2-40B4-BE49-F238E27FC236}">
              <a16:creationId xmlns:a16="http://schemas.microsoft.com/office/drawing/2014/main" id="{9BDA3D91-58D0-9D81-E79B-5B0105D5DB31}"/>
            </a:ext>
          </a:extLst>
        </xdr:cNvPr>
        <xdr:cNvSpPr/>
      </xdr:nvSpPr>
      <xdr:spPr>
        <a:xfrm>
          <a:off x="228600" y="91440"/>
          <a:ext cx="4229100" cy="1569720"/>
        </a:xfrm>
        <a:prstGeom prst="flowChartAlternateProcess">
          <a:avLst/>
        </a:prstGeom>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r>
            <a:rPr lang="en-IN" sz="2800"/>
            <a:t>Carrier Performance </a:t>
          </a:r>
        </a:p>
        <a:p>
          <a:pPr algn="l"/>
          <a:r>
            <a:rPr lang="en-IN" sz="2800" baseline="0"/>
            <a:t>           </a:t>
          </a:r>
          <a:r>
            <a:rPr lang="en-IN" sz="2800"/>
            <a:t>&amp; Order Cycle </a:t>
          </a:r>
        </a:p>
        <a:p>
          <a:pPr algn="l"/>
          <a:r>
            <a:rPr lang="en-IN" sz="2800"/>
            <a:t>                      Velocity Tracker</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sidd" refreshedDate="46190.799420601848" backgroundQuery="1" createdVersion="8" refreshedVersion="8" minRefreshableVersion="3" recordCount="0" supportSubquery="1" supportAdvancedDrill="1" xr:uid="{2A9105DA-854D-4FF6-806C-79F2EACA756D}">
  <cacheSource type="external" connectionId="9"/>
  <cacheFields count="4">
    <cacheField name="[logistics 1].[Delivery_status].[Delivery_status]" caption="Delivery_status" numFmtId="0" hierarchy="17" level="1">
      <sharedItems count="2">
        <s v="Late"/>
        <s v="On time"/>
      </sharedItems>
    </cacheField>
    <cacheField name="[Measures].[Count of OrderID]" caption="Count of OrderID" numFmtId="0" hierarchy="34" level="32767"/>
    <cacheField name="[orders 1].[Product_Category].[Product_Category]" caption="Product_Category" numFmtId="0" hierarchy="25" level="1">
      <sharedItems containsSemiMixedTypes="0" containsNonDate="0" containsString="0"/>
    </cacheField>
    <cacheField name="[logistics 1].[Actual_transit_days].[Actual_transit_days]" caption="Actual_transit_days" numFmtId="0" hierarchy="16" level="1">
      <sharedItems containsSemiMixedTypes="0" containsNonDate="0" containsString="0"/>
    </cacheField>
  </cacheFields>
  <cacheHierarchies count="38">
    <cacheHierarchy uniqueName="[logistics].[OrderID]" caption="OrderID" attribute="1" defaultMemberUniqueName="[logistics].[OrderID].[All]" allUniqueName="[logistics].[OrderID].[All]" dimensionUniqueName="[logistics]" displayFolder="" count="2" memberValueDatatype="130" unbalanced="0"/>
    <cacheHierarchy uniqueName="[logistics].[Carrier]" caption="Carrier" attribute="1" defaultMemberUniqueName="[logistics].[Carrier].[All]" allUniqueName="[logistics].[Carrier].[All]" dimensionUniqueName="[logistics]" displayFolder="" count="2" memberValueDatatype="130" unbalanced="0"/>
    <cacheHierarchy uniqueName="[logistics].[Order_Date]" caption="Order_Date" attribute="1" time="1" defaultMemberUniqueName="[logistics].[Order_Date].[All]" allUniqueName="[logistics].[Order_Date].[All]" dimensionUniqueName="[logistics]" displayFolder="" count="2" memberValueDatatype="7" unbalanced="0"/>
    <cacheHierarchy uniqueName="[logistics].[Promised_Delivery_Days]" caption="Promised_Delivery_Days" attribute="1" defaultMemberUniqueName="[logistics].[Promised_Delivery_Days].[All]" allUniqueName="[logistics].[Promised_Delivery_Days].[All]" dimensionUniqueName="[logistics]" displayFolder="" count="2" memberValueDatatype="20" unbalanced="0"/>
    <cacheHierarchy uniqueName="[logistics].[Actual_Delivery_Date]" caption="Actual_Delivery_Date" attribute="1" time="1" defaultMemberUniqueName="[logistics].[Actual_Delivery_Date].[All]" allUniqueName="[logistics].[Actual_Delivery_Date].[All]" dimensionUniqueName="[logistics]" displayFolder="" count="2" memberValueDatatype="7" unbalanced="0"/>
    <cacheHierarchy uniqueName="[logistics].[Shipping_Cost]" caption="Shipping_Cost" attribute="1" defaultMemberUniqueName="[logistics].[Shipping_Cost].[All]" allUniqueName="[logistics].[Shipping_Cost].[All]" dimensionUniqueName="[logistics]" displayFolder="" count="2" memberValueDatatype="5" unbalanced="0"/>
    <cacheHierarchy uniqueName="[logistics].[Actual_transit_days]" caption="Actual_transit_days" attribute="1" defaultMemberUniqueName="[logistics].[Actual_transit_days].[All]" allUniqueName="[logistics].[Actual_transit_days].[All]" dimensionUniqueName="[logistics]" displayFolder="" count="2" memberValueDatatype="20" unbalanced="0"/>
    <cacheHierarchy uniqueName="[logistics].[Delivery_status]" caption="Delivery_status" attribute="1" defaultMemberUniqueName="[logistics].[Delivery_status].[All]" allUniqueName="[logistics].[Delivery_status].[All]" dimensionUniqueName="[logistics]" displayFolder="" count="2" memberValueDatatype="130" unbalanced="0"/>
    <cacheHierarchy uniqueName="[logistics].[Destination_Zone]" caption="Destination_Zone" attribute="1" defaultMemberUniqueName="[logistics].[Destination_Zone].[All]" allUniqueName="[logistics].[Destination_Zone].[All]" dimensionUniqueName="[logistics]" displayFolder="" count="2" memberValueDatatype="130" unbalanced="0"/>
    <cacheHierarchy uniqueName="[logistics].[Customer_Type]" caption="Customer_Type" attribute="1" defaultMemberUniqueName="[logistics].[Customer_Type].[All]" allUniqueName="[logistics].[Customer_Type].[All]" dimensionUniqueName="[logistics]" displayFolder="" count="2" memberValueDatatype="130" unbalanced="0"/>
    <cacheHierarchy uniqueName="[logistics 1].[OrderID]" caption="OrderID" attribute="1" defaultMemberUniqueName="[logistics 1].[OrderID].[All]" allUniqueName="[logistics 1].[OrderID].[All]" dimensionUniqueName="[logistics 1]" displayFolder="" count="2" memberValueDatatype="130" unbalanced="0"/>
    <cacheHierarchy uniqueName="[logistics 1].[Carrier]" caption="Carrier" attribute="1" defaultMemberUniqueName="[logistics 1].[Carrier].[All]" allUniqueName="[logistics 1].[Carrier].[All]" dimensionUniqueName="[logistics 1]" displayFolder="" count="2" memberValueDatatype="130" unbalanced="0"/>
    <cacheHierarchy uniqueName="[logistics 1].[Order_Date]" caption="Order_Date" attribute="1" time="1" defaultMemberUniqueName="[logistics 1].[Order_Date].[All]" allUniqueName="[logistics 1].[Order_Date].[All]" dimensionUniqueName="[logistics 1]" displayFolder="" count="2" memberValueDatatype="7" unbalanced="0"/>
    <cacheHierarchy uniqueName="[logistics 1].[Promised_Delivery_Days]" caption="Promised_Delivery_Days" attribute="1" defaultMemberUniqueName="[logistics 1].[Promised_Delivery_Days].[All]" allUniqueName="[logistics 1].[Promised_Delivery_Days].[All]" dimensionUniqueName="[logistics 1]" displayFolder="" count="2" memberValueDatatype="20" unbalanced="0"/>
    <cacheHierarchy uniqueName="[logistics 1].[Actual_Delivery_Date]" caption="Actual_Delivery_Date" attribute="1" time="1" defaultMemberUniqueName="[logistics 1].[Actual_Delivery_Date].[All]" allUniqueName="[logistics 1].[Actual_Delivery_Date].[All]" dimensionUniqueName="[logistics 1]" displayFolder="" count="2" memberValueDatatype="7" unbalanced="0"/>
    <cacheHierarchy uniqueName="[logistics 1].[Shipping_Cost]" caption="Shipping_Cost" attribute="1" defaultMemberUniqueName="[logistics 1].[Shipping_Cost].[All]" allUniqueName="[logistics 1].[Shipping_Cost].[All]" dimensionUniqueName="[logistics 1]" displayFolder="" count="2" memberValueDatatype="20" unbalanced="0"/>
    <cacheHierarchy uniqueName="[logistics 1].[Actual_transit_days]" caption="Actual_transit_days" attribute="1" defaultMemberUniqueName="[logistics 1].[Actual_transit_days].[All]" allUniqueName="[logistics 1].[Actual_transit_days].[All]" dimensionUniqueName="[logistics 1]" displayFolder="" count="2" memberValueDatatype="20" unbalanced="0">
      <fieldsUsage count="2">
        <fieldUsage x="-1"/>
        <fieldUsage x="3"/>
      </fieldsUsage>
    </cacheHierarchy>
    <cacheHierarchy uniqueName="[logistics 1].[Delivery_status]" caption="Delivery_status" attribute="1" defaultMemberUniqueName="[logistics 1].[Delivery_status].[All]" allUniqueName="[logistics 1].[Delivery_status].[All]" dimensionUniqueName="[logistics 1]" displayFolder="" count="2" memberValueDatatype="130" unbalanced="0">
      <fieldsUsage count="2">
        <fieldUsage x="-1"/>
        <fieldUsage x="0"/>
      </fieldsUsage>
    </cacheHierarchy>
    <cacheHierarchy uniqueName="[logistics 1].[Destination_Zone]" caption="Destination_Zone" attribute="1" defaultMemberUniqueName="[logistics 1].[Destination_Zone].[All]" allUniqueName="[logistics 1].[Destination_Zone].[All]" dimensionUniqueName="[logistics 1]" displayFolder="" count="2" memberValueDatatype="130" unbalanced="0"/>
    <cacheHierarchy uniqueName="[logistics 1].[Customer_Type]" caption="Customer_Type" attribute="1" defaultMemberUniqueName="[logistics 1].[Customer_Type].[All]" allUniqueName="[logistics 1].[Customer_Type].[All]" dimensionUniqueName="[logistics 1]" displayFolder="" count="2" memberValueDatatype="130" unbalanced="0"/>
    <cacheHierarchy uniqueName="[orders].[OrderID]" caption="OrderID" attribute="1" defaultMemberUniqueName="[orders].[OrderID].[All]" allUniqueName="[orders].[OrderID].[All]" dimensionUniqueName="[orders]" displayFolder="" count="2" memberValueDatatype="130" unbalanced="0"/>
    <cacheHierarchy uniqueName="[orders].[Product_Category]" caption="Product_Category" attribute="1" defaultMemberUniqueName="[orders].[Product_Category].[All]" allUniqueName="[orders].[Product_Category].[All]" dimensionUniqueName="[orders]" displayFolder="" count="2" memberValueDatatype="130" unbalanced="0"/>
    <cacheHierarchy uniqueName="[orders].[Destination_Zone]" caption="Destination_Zone" attribute="1" defaultMemberUniqueName="[orders].[Destination_Zone].[All]" allUniqueName="[orders].[Destination_Zone].[All]" dimensionUniqueName="[orders]" displayFolder="" count="2" memberValueDatatype="130" unbalanced="0"/>
    <cacheHierarchy uniqueName="[orders].[Customer_Type]" caption="Customer_Type" attribute="1" defaultMemberUniqueName="[orders].[Customer_Type].[All]" allUniqueName="[orders].[Customer_Type].[All]" dimensionUniqueName="[orders]" displayFolder="" count="2" memberValueDatatype="130" unbalanced="0"/>
    <cacheHierarchy uniqueName="[orders 1].[OrderID]" caption="OrderID" attribute="1" defaultMemberUniqueName="[orders 1].[OrderID].[All]" allUniqueName="[orders 1].[OrderID].[All]" dimensionUniqueName="[orders 1]" displayFolder="" count="2" memberValueDatatype="130" unbalanced="0"/>
    <cacheHierarchy uniqueName="[orders 1].[Product_Category]" caption="Product_Category" attribute="1" defaultMemberUniqueName="[orders 1].[Product_Category].[All]" allUniqueName="[orders 1].[Product_Category].[All]" dimensionUniqueName="[orders 1]" displayFolder="" count="2" memberValueDatatype="130" unbalanced="0">
      <fieldsUsage count="2">
        <fieldUsage x="-1"/>
        <fieldUsage x="2"/>
      </fieldsUsage>
    </cacheHierarchy>
    <cacheHierarchy uniqueName="[orders 1].[Destination_Zone]" caption="Destination_Zone" attribute="1" defaultMemberUniqueName="[orders 1].[Destination_Zone].[All]" allUniqueName="[orders 1].[Destination_Zone].[All]" dimensionUniqueName="[orders 1]" displayFolder="" count="2" memberValueDatatype="130" unbalanced="0"/>
    <cacheHierarchy uniqueName="[orders 1].[Customer_Type]" caption="Customer_Type" attribute="1" defaultMemberUniqueName="[orders 1].[Customer_Type].[All]" allUniqueName="[orders 1].[Customer_Type].[All]" dimensionUniqueName="[orders 1]" displayFolder="" count="2" memberValueDatatype="130" unbalanced="0"/>
    <cacheHierarchy uniqueName="[Measures].[__XL_Count orders]" caption="__XL_Count orders" measure="1" displayFolder="" measureGroup="orders" count="0" hidden="1"/>
    <cacheHierarchy uniqueName="[Measures].[__XL_Count logistics]" caption="__XL_Count logistics" measure="1" displayFolder="" measureGroup="logistics" count="0" hidden="1"/>
    <cacheHierarchy uniqueName="[Measures].[__XL_Count logistics 1]" caption="__XL_Count logistics 1" measure="1" displayFolder="" measureGroup="logistic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Count of Delivery_status]" caption="Count of Delivery_status" measure="1" displayFolder="" measureGroup="logistics 1" count="0" hidden="1">
      <extLst>
        <ext xmlns:x15="http://schemas.microsoft.com/office/spreadsheetml/2010/11/main" uri="{B97F6D7D-B522-45F9-BDA1-12C45D357490}">
          <x15:cacheHierarchy aggregatedColumn="17"/>
        </ext>
      </extLst>
    </cacheHierarchy>
    <cacheHierarchy uniqueName="[Measures].[Count of OrderID]" caption="Count of OrderID" measure="1" displayFolder="" measureGroup="logistics 1"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Shipping_Cost]" caption="Sum of Shipping_Cost" measure="1" displayFolder="" measureGroup="logistics 1" count="0" hidden="1">
      <extLst>
        <ext xmlns:x15="http://schemas.microsoft.com/office/spreadsheetml/2010/11/main" uri="{B97F6D7D-B522-45F9-BDA1-12C45D357490}">
          <x15:cacheHierarchy aggregatedColumn="15"/>
        </ext>
      </extLst>
    </cacheHierarchy>
    <cacheHierarchy uniqueName="[Measures].[Sum of Actual_transit_days]" caption="Sum of Actual_transit_days" measure="1" displayFolder="" measureGroup="logistics 1" count="0" hidden="1">
      <extLst>
        <ext xmlns:x15="http://schemas.microsoft.com/office/spreadsheetml/2010/11/main" uri="{B97F6D7D-B522-45F9-BDA1-12C45D357490}">
          <x15:cacheHierarchy aggregatedColumn="16"/>
        </ext>
      </extLst>
    </cacheHierarchy>
    <cacheHierarchy uniqueName="[Measures].[Average of Actual_transit_days]" caption="Average of Actual_transit_days" measure="1" displayFolder="" measureGroup="logistics 1" count="0" hidden="1">
      <extLst>
        <ext xmlns:x15="http://schemas.microsoft.com/office/spreadsheetml/2010/11/main" uri="{B97F6D7D-B522-45F9-BDA1-12C45D357490}">
          <x15:cacheHierarchy aggregatedColumn="16"/>
        </ext>
      </extLst>
    </cacheHierarchy>
  </cacheHierarchies>
  <kpis count="0"/>
  <dimensions count="5">
    <dimension name="logistics" uniqueName="[logistics]" caption="logistics"/>
    <dimension name="logistics 1" uniqueName="[logistics 1]" caption="logistics 1"/>
    <dimension measure="1" name="Measures" uniqueName="[Measures]" caption="Measures"/>
    <dimension name="orders" uniqueName="[orders]" caption="orders"/>
    <dimension name="orders 1" uniqueName="[orders 1]" caption="orders 1"/>
  </dimensions>
  <measureGroups count="4">
    <measureGroup name="logistics" caption="logistics"/>
    <measureGroup name="logistics 1" caption="logistics 1"/>
    <measureGroup name="orders" caption="orders"/>
    <measureGroup name="orders 1" caption="orders 1"/>
  </measureGroups>
  <maps count="4">
    <map measureGroup="0"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sidd" refreshedDate="46190.799422337965" backgroundQuery="1" createdVersion="8" refreshedVersion="8" minRefreshableVersion="3" recordCount="0" supportSubquery="1" supportAdvancedDrill="1" xr:uid="{0DB97112-8939-49D9-8A6D-6476CBFEF52B}">
  <cacheSource type="external" connectionId="9"/>
  <cacheFields count="6">
    <cacheField name="[logistics 1].[Destination_Zone].[Destination_Zone]" caption="Destination_Zone" numFmtId="0" hierarchy="18" level="1">
      <sharedItems count="4">
        <s v="East"/>
        <s v="North"/>
        <s v="South"/>
        <s v="West"/>
      </sharedItems>
    </cacheField>
    <cacheField name="[logistics 1].[Delivery_status].[Delivery_status]" caption="Delivery_status" numFmtId="0" hierarchy="17" level="1">
      <sharedItems count="2">
        <s v="Late"/>
        <s v="On time"/>
      </sharedItems>
    </cacheField>
    <cacheField name="[Measures].[Sum of Shipping_Cost]" caption="Sum of Shipping_Cost" numFmtId="0" hierarchy="35" level="32767"/>
    <cacheField name="[Measures].[Average of Actual_transit_days]" caption="Average of Actual_transit_days" numFmtId="0" hierarchy="37" level="32767"/>
    <cacheField name="[orders 1].[Product_Category].[Product_Category]" caption="Product_Category" numFmtId="0" hierarchy="25" level="1">
      <sharedItems containsSemiMixedTypes="0" containsNonDate="0" containsString="0"/>
    </cacheField>
    <cacheField name="[logistics 1].[Actual_transit_days].[Actual_transit_days]" caption="Actual_transit_days" numFmtId="0" hierarchy="16" level="1">
      <sharedItems containsSemiMixedTypes="0" containsNonDate="0" containsString="0"/>
    </cacheField>
  </cacheFields>
  <cacheHierarchies count="38">
    <cacheHierarchy uniqueName="[logistics].[OrderID]" caption="OrderID" attribute="1" defaultMemberUniqueName="[logistics].[OrderID].[All]" allUniqueName="[logistics].[OrderID].[All]" dimensionUniqueName="[logistics]" displayFolder="" count="2" memberValueDatatype="130" unbalanced="0"/>
    <cacheHierarchy uniqueName="[logistics].[Carrier]" caption="Carrier" attribute="1" defaultMemberUniqueName="[logistics].[Carrier].[All]" allUniqueName="[logistics].[Carrier].[All]" dimensionUniqueName="[logistics]" displayFolder="" count="2" memberValueDatatype="130" unbalanced="0"/>
    <cacheHierarchy uniqueName="[logistics].[Order_Date]" caption="Order_Date" attribute="1" time="1" defaultMemberUniqueName="[logistics].[Order_Date].[All]" allUniqueName="[logistics].[Order_Date].[All]" dimensionUniqueName="[logistics]" displayFolder="" count="2" memberValueDatatype="7" unbalanced="0"/>
    <cacheHierarchy uniqueName="[logistics].[Promised_Delivery_Days]" caption="Promised_Delivery_Days" attribute="1" defaultMemberUniqueName="[logistics].[Promised_Delivery_Days].[All]" allUniqueName="[logistics].[Promised_Delivery_Days].[All]" dimensionUniqueName="[logistics]" displayFolder="" count="2" memberValueDatatype="20" unbalanced="0"/>
    <cacheHierarchy uniqueName="[logistics].[Actual_Delivery_Date]" caption="Actual_Delivery_Date" attribute="1" time="1" defaultMemberUniqueName="[logistics].[Actual_Delivery_Date].[All]" allUniqueName="[logistics].[Actual_Delivery_Date].[All]" dimensionUniqueName="[logistics]" displayFolder="" count="2" memberValueDatatype="7" unbalanced="0"/>
    <cacheHierarchy uniqueName="[logistics].[Shipping_Cost]" caption="Shipping_Cost" attribute="1" defaultMemberUniqueName="[logistics].[Shipping_Cost].[All]" allUniqueName="[logistics].[Shipping_Cost].[All]" dimensionUniqueName="[logistics]" displayFolder="" count="2" memberValueDatatype="5" unbalanced="0"/>
    <cacheHierarchy uniqueName="[logistics].[Actual_transit_days]" caption="Actual_transit_days" attribute="1" defaultMemberUniqueName="[logistics].[Actual_transit_days].[All]" allUniqueName="[logistics].[Actual_transit_days].[All]" dimensionUniqueName="[logistics]" displayFolder="" count="2" memberValueDatatype="20" unbalanced="0"/>
    <cacheHierarchy uniqueName="[logistics].[Delivery_status]" caption="Delivery_status" attribute="1" defaultMemberUniqueName="[logistics].[Delivery_status].[All]" allUniqueName="[logistics].[Delivery_status].[All]" dimensionUniqueName="[logistics]" displayFolder="" count="2" memberValueDatatype="130" unbalanced="0"/>
    <cacheHierarchy uniqueName="[logistics].[Destination_Zone]" caption="Destination_Zone" attribute="1" defaultMemberUniqueName="[logistics].[Destination_Zone].[All]" allUniqueName="[logistics].[Destination_Zone].[All]" dimensionUniqueName="[logistics]" displayFolder="" count="2" memberValueDatatype="130" unbalanced="0"/>
    <cacheHierarchy uniqueName="[logistics].[Customer_Type]" caption="Customer_Type" attribute="1" defaultMemberUniqueName="[logistics].[Customer_Type].[All]" allUniqueName="[logistics].[Customer_Type].[All]" dimensionUniqueName="[logistics]" displayFolder="" count="2" memberValueDatatype="130" unbalanced="0"/>
    <cacheHierarchy uniqueName="[logistics 1].[OrderID]" caption="OrderID" attribute="1" defaultMemberUniqueName="[logistics 1].[OrderID].[All]" allUniqueName="[logistics 1].[OrderID].[All]" dimensionUniqueName="[logistics 1]" displayFolder="" count="2" memberValueDatatype="130" unbalanced="0"/>
    <cacheHierarchy uniqueName="[logistics 1].[Carrier]" caption="Carrier" attribute="1" defaultMemberUniqueName="[logistics 1].[Carrier].[All]" allUniqueName="[logistics 1].[Carrier].[All]" dimensionUniqueName="[logistics 1]" displayFolder="" count="2" memberValueDatatype="130" unbalanced="0"/>
    <cacheHierarchy uniqueName="[logistics 1].[Order_Date]" caption="Order_Date" attribute="1" time="1" defaultMemberUniqueName="[logistics 1].[Order_Date].[All]" allUniqueName="[logistics 1].[Order_Date].[All]" dimensionUniqueName="[logistics 1]" displayFolder="" count="2" memberValueDatatype="7" unbalanced="0"/>
    <cacheHierarchy uniqueName="[logistics 1].[Promised_Delivery_Days]" caption="Promised_Delivery_Days" attribute="1" defaultMemberUniqueName="[logistics 1].[Promised_Delivery_Days].[All]" allUniqueName="[logistics 1].[Promised_Delivery_Days].[All]" dimensionUniqueName="[logistics 1]" displayFolder="" count="2" memberValueDatatype="20" unbalanced="0"/>
    <cacheHierarchy uniqueName="[logistics 1].[Actual_Delivery_Date]" caption="Actual_Delivery_Date" attribute="1" time="1" defaultMemberUniqueName="[logistics 1].[Actual_Delivery_Date].[All]" allUniqueName="[logistics 1].[Actual_Delivery_Date].[All]" dimensionUniqueName="[logistics 1]" displayFolder="" count="2" memberValueDatatype="7" unbalanced="0"/>
    <cacheHierarchy uniqueName="[logistics 1].[Shipping_Cost]" caption="Shipping_Cost" attribute="1" defaultMemberUniqueName="[logistics 1].[Shipping_Cost].[All]" allUniqueName="[logistics 1].[Shipping_Cost].[All]" dimensionUniqueName="[logistics 1]" displayFolder="" count="2" memberValueDatatype="20" unbalanced="0"/>
    <cacheHierarchy uniqueName="[logistics 1].[Actual_transit_days]" caption="Actual_transit_days" attribute="1" defaultMemberUniqueName="[logistics 1].[Actual_transit_days].[All]" allUniqueName="[logistics 1].[Actual_transit_days].[All]" dimensionUniqueName="[logistics 1]" displayFolder="" count="2" memberValueDatatype="20" unbalanced="0">
      <fieldsUsage count="2">
        <fieldUsage x="-1"/>
        <fieldUsage x="5"/>
      </fieldsUsage>
    </cacheHierarchy>
    <cacheHierarchy uniqueName="[logistics 1].[Delivery_status]" caption="Delivery_status" attribute="1" defaultMemberUniqueName="[logistics 1].[Delivery_status].[All]" allUniqueName="[logistics 1].[Delivery_status].[All]" dimensionUniqueName="[logistics 1]" displayFolder="" count="2" memberValueDatatype="130" unbalanced="0">
      <fieldsUsage count="2">
        <fieldUsage x="-1"/>
        <fieldUsage x="1"/>
      </fieldsUsage>
    </cacheHierarchy>
    <cacheHierarchy uniqueName="[logistics 1].[Destination_Zone]" caption="Destination_Zone" attribute="1" defaultMemberUniqueName="[logistics 1].[Destination_Zone].[All]" allUniqueName="[logistics 1].[Destination_Zone].[All]" dimensionUniqueName="[logistics 1]" displayFolder="" count="2" memberValueDatatype="130" unbalanced="0">
      <fieldsUsage count="2">
        <fieldUsage x="-1"/>
        <fieldUsage x="0"/>
      </fieldsUsage>
    </cacheHierarchy>
    <cacheHierarchy uniqueName="[logistics 1].[Customer_Type]" caption="Customer_Type" attribute="1" defaultMemberUniqueName="[logistics 1].[Customer_Type].[All]" allUniqueName="[logistics 1].[Customer_Type].[All]" dimensionUniqueName="[logistics 1]" displayFolder="" count="2" memberValueDatatype="130" unbalanced="0"/>
    <cacheHierarchy uniqueName="[orders].[OrderID]" caption="OrderID" attribute="1" defaultMemberUniqueName="[orders].[OrderID].[All]" allUniqueName="[orders].[OrderID].[All]" dimensionUniqueName="[orders]" displayFolder="" count="2" memberValueDatatype="130" unbalanced="0"/>
    <cacheHierarchy uniqueName="[orders].[Product_Category]" caption="Product_Category" attribute="1" defaultMemberUniqueName="[orders].[Product_Category].[All]" allUniqueName="[orders].[Product_Category].[All]" dimensionUniqueName="[orders]" displayFolder="" count="2" memberValueDatatype="130" unbalanced="0"/>
    <cacheHierarchy uniqueName="[orders].[Destination_Zone]" caption="Destination_Zone" attribute="1" defaultMemberUniqueName="[orders].[Destination_Zone].[All]" allUniqueName="[orders].[Destination_Zone].[All]" dimensionUniqueName="[orders]" displayFolder="" count="2" memberValueDatatype="130" unbalanced="0"/>
    <cacheHierarchy uniqueName="[orders].[Customer_Type]" caption="Customer_Type" attribute="1" defaultMemberUniqueName="[orders].[Customer_Type].[All]" allUniqueName="[orders].[Customer_Type].[All]" dimensionUniqueName="[orders]" displayFolder="" count="2" memberValueDatatype="130" unbalanced="0"/>
    <cacheHierarchy uniqueName="[orders 1].[OrderID]" caption="OrderID" attribute="1" defaultMemberUniqueName="[orders 1].[OrderID].[All]" allUniqueName="[orders 1].[OrderID].[All]" dimensionUniqueName="[orders 1]" displayFolder="" count="2" memberValueDatatype="130" unbalanced="0"/>
    <cacheHierarchy uniqueName="[orders 1].[Product_Category]" caption="Product_Category" attribute="1" defaultMemberUniqueName="[orders 1].[Product_Category].[All]" allUniqueName="[orders 1].[Product_Category].[All]" dimensionUniqueName="[orders 1]" displayFolder="" count="2" memberValueDatatype="130" unbalanced="0">
      <fieldsUsage count="2">
        <fieldUsage x="-1"/>
        <fieldUsage x="4"/>
      </fieldsUsage>
    </cacheHierarchy>
    <cacheHierarchy uniqueName="[orders 1].[Destination_Zone]" caption="Destination_Zone" attribute="1" defaultMemberUniqueName="[orders 1].[Destination_Zone].[All]" allUniqueName="[orders 1].[Destination_Zone].[All]" dimensionUniqueName="[orders 1]" displayFolder="" count="2" memberValueDatatype="130" unbalanced="0"/>
    <cacheHierarchy uniqueName="[orders 1].[Customer_Type]" caption="Customer_Type" attribute="1" defaultMemberUniqueName="[orders 1].[Customer_Type].[All]" allUniqueName="[orders 1].[Customer_Type].[All]" dimensionUniqueName="[orders 1]" displayFolder="" count="2" memberValueDatatype="130" unbalanced="0"/>
    <cacheHierarchy uniqueName="[Measures].[__XL_Count orders]" caption="__XL_Count orders" measure="1" displayFolder="" measureGroup="orders" count="0" hidden="1"/>
    <cacheHierarchy uniqueName="[Measures].[__XL_Count logistics]" caption="__XL_Count logistics" measure="1" displayFolder="" measureGroup="logistics" count="0" hidden="1"/>
    <cacheHierarchy uniqueName="[Measures].[__XL_Count logistics 1]" caption="__XL_Count logistics 1" measure="1" displayFolder="" measureGroup="logistic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Count of Delivery_status]" caption="Count of Delivery_status" measure="1" displayFolder="" measureGroup="logistics 1" count="0" hidden="1">
      <extLst>
        <ext xmlns:x15="http://schemas.microsoft.com/office/spreadsheetml/2010/11/main" uri="{B97F6D7D-B522-45F9-BDA1-12C45D357490}">
          <x15:cacheHierarchy aggregatedColumn="17"/>
        </ext>
      </extLst>
    </cacheHierarchy>
    <cacheHierarchy uniqueName="[Measures].[Count of OrderID]" caption="Count of OrderID" measure="1" displayFolder="" measureGroup="logistics 1" count="0" hidden="1">
      <extLst>
        <ext xmlns:x15="http://schemas.microsoft.com/office/spreadsheetml/2010/11/main" uri="{B97F6D7D-B522-45F9-BDA1-12C45D357490}">
          <x15:cacheHierarchy aggregatedColumn="10"/>
        </ext>
      </extLst>
    </cacheHierarchy>
    <cacheHierarchy uniqueName="[Measures].[Sum of Shipping_Cost]" caption="Sum of Shipping_Cost" measure="1" displayFolder="" measureGroup="logistics 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Actual_transit_days]" caption="Sum of Actual_transit_days" measure="1" displayFolder="" measureGroup="logistics 1" count="0" hidden="1">
      <extLst>
        <ext xmlns:x15="http://schemas.microsoft.com/office/spreadsheetml/2010/11/main" uri="{B97F6D7D-B522-45F9-BDA1-12C45D357490}">
          <x15:cacheHierarchy aggregatedColumn="16"/>
        </ext>
      </extLst>
    </cacheHierarchy>
    <cacheHierarchy uniqueName="[Measures].[Average of Actual_transit_days]" caption="Average of Actual_transit_days" measure="1" displayFolder="" measureGroup="logistics 1" count="0" oneField="1" hidden="1">
      <fieldsUsage count="1">
        <fieldUsage x="3"/>
      </fieldsUsage>
      <extLst>
        <ext xmlns:x15="http://schemas.microsoft.com/office/spreadsheetml/2010/11/main" uri="{B97F6D7D-B522-45F9-BDA1-12C45D357490}">
          <x15:cacheHierarchy aggregatedColumn="16"/>
        </ext>
      </extLst>
    </cacheHierarchy>
  </cacheHierarchies>
  <kpis count="0"/>
  <dimensions count="5">
    <dimension name="logistics" uniqueName="[logistics]" caption="logistics"/>
    <dimension name="logistics 1" uniqueName="[logistics 1]" caption="logistics 1"/>
    <dimension measure="1" name="Measures" uniqueName="[Measures]" caption="Measures"/>
    <dimension name="orders" uniqueName="[orders]" caption="orders"/>
    <dimension name="orders 1" uniqueName="[orders 1]" caption="orders 1"/>
  </dimensions>
  <measureGroups count="4">
    <measureGroup name="logistics" caption="logistics"/>
    <measureGroup name="logistics 1" caption="logistics 1"/>
    <measureGroup name="orders" caption="orders"/>
    <measureGroup name="orders 1" caption="orders 1"/>
  </measureGroups>
  <maps count="4">
    <map measureGroup="0"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sidd" refreshedDate="46190.799423379627" backgroundQuery="1" createdVersion="8" refreshedVersion="8" minRefreshableVersion="3" recordCount="0" supportSubquery="1" supportAdvancedDrill="1" xr:uid="{35B9018C-689D-4E95-9E66-A5C0B94287AE}">
  <cacheSource type="external" connectionId="9"/>
  <cacheFields count="5">
    <cacheField name="[logistics 1].[Delivery_status].[Delivery_status]" caption="Delivery_status" numFmtId="0" hierarchy="17" level="1">
      <sharedItems count="1">
        <s v="Late"/>
      </sharedItems>
    </cacheField>
    <cacheField name="[logistics 1].[Customer_Type].[Customer_Type]" caption="Customer_Type" numFmtId="0" hierarchy="19" level="1">
      <sharedItems count="3">
        <s v="Corporate"/>
        <s v="E-commerce"/>
        <s v="Retail"/>
      </sharedItems>
    </cacheField>
    <cacheField name="[Measures].[Count of OrderID]" caption="Count of OrderID" numFmtId="0" hierarchy="34" level="32767"/>
    <cacheField name="[orders 1].[Product_Category].[Product_Category]" caption="Product_Category" numFmtId="0" hierarchy="25" level="1">
      <sharedItems containsSemiMixedTypes="0" containsNonDate="0" containsString="0"/>
    </cacheField>
    <cacheField name="[logistics 1].[Actual_transit_days].[Actual_transit_days]" caption="Actual_transit_days" numFmtId="0" hierarchy="16" level="1">
      <sharedItems containsSemiMixedTypes="0" containsNonDate="0" containsString="0"/>
    </cacheField>
  </cacheFields>
  <cacheHierarchies count="38">
    <cacheHierarchy uniqueName="[logistics].[OrderID]" caption="OrderID" attribute="1" defaultMemberUniqueName="[logistics].[OrderID].[All]" allUniqueName="[logistics].[OrderID].[All]" dimensionUniqueName="[logistics]" displayFolder="" count="0" memberValueDatatype="130" unbalanced="0"/>
    <cacheHierarchy uniqueName="[logistics].[Carrier]" caption="Carrier" attribute="1" defaultMemberUniqueName="[logistics].[Carrier].[All]" allUniqueName="[logistics].[Carrier].[All]" dimensionUniqueName="[logistics]" displayFolder="" count="0" memberValueDatatype="130" unbalanced="0"/>
    <cacheHierarchy uniqueName="[logistics].[Order_Date]" caption="Order_Date" attribute="1" time="1" defaultMemberUniqueName="[logistics].[Order_Date].[All]" allUniqueName="[logistics].[Order_Date].[All]" dimensionUniqueName="[logistics]" displayFolder="" count="0" memberValueDatatype="7" unbalanced="0"/>
    <cacheHierarchy uniqueName="[logistics].[Promised_Delivery_Days]" caption="Promised_Delivery_Days" attribute="1" defaultMemberUniqueName="[logistics].[Promised_Delivery_Days].[All]" allUniqueName="[logistics].[Promised_Delivery_Days].[All]" dimensionUniqueName="[logistics]" displayFolder="" count="0" memberValueDatatype="20" unbalanced="0"/>
    <cacheHierarchy uniqueName="[logistics].[Actual_Delivery_Date]" caption="Actual_Delivery_Date" attribute="1" time="1" defaultMemberUniqueName="[logistics].[Actual_Delivery_Date].[All]" allUniqueName="[logistics].[Actual_Delivery_Date].[All]" dimensionUniqueName="[logistics]" displayFolder="" count="0" memberValueDatatype="7" unbalanced="0"/>
    <cacheHierarchy uniqueName="[logistics].[Shipping_Cost]" caption="Shipping_Cost" attribute="1" defaultMemberUniqueName="[logistics].[Shipping_Cost].[All]" allUniqueName="[logistics].[Shipping_Cost].[All]" dimensionUniqueName="[logistics]" displayFolder="" count="0" memberValueDatatype="5" unbalanced="0"/>
    <cacheHierarchy uniqueName="[logistics].[Actual_transit_days]" caption="Actual_transit_days" attribute="1" defaultMemberUniqueName="[logistics].[Actual_transit_days].[All]" allUniqueName="[logistics].[Actual_transit_days].[All]" dimensionUniqueName="[logistics]" displayFolder="" count="0" memberValueDatatype="20" unbalanced="0"/>
    <cacheHierarchy uniqueName="[logistics].[Delivery_status]" caption="Delivery_status" attribute="1" defaultMemberUniqueName="[logistics].[Delivery_status].[All]" allUniqueName="[logistics].[Delivery_status].[All]" dimensionUniqueName="[logistics]" displayFolder="" count="0" memberValueDatatype="130" unbalanced="0"/>
    <cacheHierarchy uniqueName="[logistics].[Destination_Zone]" caption="Destination_Zone" attribute="1" defaultMemberUniqueName="[logistics].[Destination_Zone].[All]" allUniqueName="[logistics].[Destination_Zone].[All]" dimensionUniqueName="[logistics]" displayFolder="" count="0" memberValueDatatype="130" unbalanced="0"/>
    <cacheHierarchy uniqueName="[logistics].[Customer_Type]" caption="Customer_Type" attribute="1" defaultMemberUniqueName="[logistics].[Customer_Type].[All]" allUniqueName="[logistics].[Customer_Type].[All]" dimensionUniqueName="[logistics]" displayFolder="" count="0" memberValueDatatype="130" unbalanced="0"/>
    <cacheHierarchy uniqueName="[logistics 1].[OrderID]" caption="OrderID" attribute="1" defaultMemberUniqueName="[logistics 1].[OrderID].[All]" allUniqueName="[logistics 1].[OrderID].[All]" dimensionUniqueName="[logistics 1]" displayFolder="" count="2" memberValueDatatype="130" unbalanced="0"/>
    <cacheHierarchy uniqueName="[logistics 1].[Carrier]" caption="Carrier" attribute="1" defaultMemberUniqueName="[logistics 1].[Carrier].[All]" allUniqueName="[logistics 1].[Carrier].[All]" dimensionUniqueName="[logistics 1]" displayFolder="" count="0" memberValueDatatype="130" unbalanced="0"/>
    <cacheHierarchy uniqueName="[logistics 1].[Order_Date]" caption="Order_Date" attribute="1" time="1" defaultMemberUniqueName="[logistics 1].[Order_Date].[All]" allUniqueName="[logistics 1].[Order_Date].[All]" dimensionUniqueName="[logistics 1]" displayFolder="" count="2" memberValueDatatype="7" unbalanced="0"/>
    <cacheHierarchy uniqueName="[logistics 1].[Promised_Delivery_Days]" caption="Promised_Delivery_Days" attribute="1" defaultMemberUniqueName="[logistics 1].[Promised_Delivery_Days].[All]" allUniqueName="[logistics 1].[Promised_Delivery_Days].[All]" dimensionUniqueName="[logistics 1]" displayFolder="" count="0" memberValueDatatype="20" unbalanced="0"/>
    <cacheHierarchy uniqueName="[logistics 1].[Actual_Delivery_Date]" caption="Actual_Delivery_Date" attribute="1" time="1" defaultMemberUniqueName="[logistics 1].[Actual_Delivery_Date].[All]" allUniqueName="[logistics 1].[Actual_Delivery_Date].[All]" dimensionUniqueName="[logistics 1]" displayFolder="" count="2" memberValueDatatype="7" unbalanced="0"/>
    <cacheHierarchy uniqueName="[logistics 1].[Shipping_Cost]" caption="Shipping_Cost" attribute="1" defaultMemberUniqueName="[logistics 1].[Shipping_Cost].[All]" allUniqueName="[logistics 1].[Shipping_Cost].[All]" dimensionUniqueName="[logistics 1]" displayFolder="" count="0" memberValueDatatype="20" unbalanced="0"/>
    <cacheHierarchy uniqueName="[logistics 1].[Actual_transit_days]" caption="Actual_transit_days" attribute="1" defaultMemberUniqueName="[logistics 1].[Actual_transit_days].[All]" allUniqueName="[logistics 1].[Actual_transit_days].[All]" dimensionUniqueName="[logistics 1]" displayFolder="" count="2" memberValueDatatype="20" unbalanced="0">
      <fieldsUsage count="2">
        <fieldUsage x="-1"/>
        <fieldUsage x="4"/>
      </fieldsUsage>
    </cacheHierarchy>
    <cacheHierarchy uniqueName="[logistics 1].[Delivery_status]" caption="Delivery_status" attribute="1" defaultMemberUniqueName="[logistics 1].[Delivery_status].[All]" allUniqueName="[logistics 1].[Delivery_status].[All]" dimensionUniqueName="[logistics 1]" displayFolder="" count="2" memberValueDatatype="130" unbalanced="0">
      <fieldsUsage count="2">
        <fieldUsage x="-1"/>
        <fieldUsage x="0"/>
      </fieldsUsage>
    </cacheHierarchy>
    <cacheHierarchy uniqueName="[logistics 1].[Destination_Zone]" caption="Destination_Zone" attribute="1" defaultMemberUniqueName="[logistics 1].[Destination_Zone].[All]" allUniqueName="[logistics 1].[Destination_Zone].[All]" dimensionUniqueName="[logistics 1]" displayFolder="" count="0" memberValueDatatype="130" unbalanced="0"/>
    <cacheHierarchy uniqueName="[logistics 1].[Customer_Type]" caption="Customer_Type" attribute="1" defaultMemberUniqueName="[logistics 1].[Customer_Type].[All]" allUniqueName="[logistics 1].[Customer_Type].[All]" dimensionUniqueName="[logistics 1]" displayFolder="" count="2" memberValueDatatype="130" unbalanced="0">
      <fieldsUsage count="2">
        <fieldUsage x="-1"/>
        <fieldUsage x="1"/>
      </fieldsUsage>
    </cacheHierarchy>
    <cacheHierarchy uniqueName="[orders].[OrderID]" caption="OrderID" attribute="1" defaultMemberUniqueName="[orders].[OrderID].[All]" allUniqueName="[orders].[OrderID].[All]" dimensionUniqueName="[orders]" displayFolder="" count="0" memberValueDatatype="130" unbalanced="0"/>
    <cacheHierarchy uniqueName="[orders].[Product_Category]" caption="Product_Category" attribute="1" defaultMemberUniqueName="[orders].[Product_Category].[All]" allUniqueName="[orders].[Product_Category].[All]" dimensionUniqueName="[orders]" displayFolder="" count="0" memberValueDatatype="130" unbalanced="0"/>
    <cacheHierarchy uniqueName="[orders].[Destination_Zone]" caption="Destination_Zone" attribute="1" defaultMemberUniqueName="[orders].[Destination_Zone].[All]" allUniqueName="[orders].[Destination_Zone].[All]" dimensionUniqueName="[orders]" displayFolder="" count="0" memberValueDatatype="130" unbalanced="0"/>
    <cacheHierarchy uniqueName="[orders].[Customer_Type]" caption="Customer_Type" attribute="1" defaultMemberUniqueName="[orders].[Customer_Type].[All]" allUniqueName="[orders].[Customer_Type].[All]" dimensionUniqueName="[orders]" displayFolder="" count="0" memberValueDatatype="130" unbalanced="0"/>
    <cacheHierarchy uniqueName="[orders 1].[OrderID]" caption="OrderID" attribute="1" defaultMemberUniqueName="[orders 1].[OrderID].[All]" allUniqueName="[orders 1].[OrderID].[All]" dimensionUniqueName="[orders 1]" displayFolder="" count="0" memberValueDatatype="130" unbalanced="0"/>
    <cacheHierarchy uniqueName="[orders 1].[Product_Category]" caption="Product_Category" attribute="1" defaultMemberUniqueName="[orders 1].[Product_Category].[All]" allUniqueName="[orders 1].[Product_Category].[All]" dimensionUniqueName="[orders 1]" displayFolder="" count="2" memberValueDatatype="130" unbalanced="0">
      <fieldsUsage count="2">
        <fieldUsage x="-1"/>
        <fieldUsage x="3"/>
      </fieldsUsage>
    </cacheHierarchy>
    <cacheHierarchy uniqueName="[orders 1].[Destination_Zone]" caption="Destination_Zone" attribute="1" defaultMemberUniqueName="[orders 1].[Destination_Zone].[All]" allUniqueName="[orders 1].[Destination_Zone].[All]" dimensionUniqueName="[orders 1]" displayFolder="" count="0" memberValueDatatype="130" unbalanced="0"/>
    <cacheHierarchy uniqueName="[orders 1].[Customer_Type]" caption="Customer_Type" attribute="1" defaultMemberUniqueName="[orders 1].[Customer_Type].[All]" allUniqueName="[orders 1].[Customer_Type].[All]" dimensionUniqueName="[orders 1]" displayFolder="" count="0" memberValueDatatype="130" unbalanced="0"/>
    <cacheHierarchy uniqueName="[Measures].[__XL_Count orders]" caption="__XL_Count orders" measure="1" displayFolder="" measureGroup="orders" count="0" hidden="1"/>
    <cacheHierarchy uniqueName="[Measures].[__XL_Count logistics]" caption="__XL_Count logistics" measure="1" displayFolder="" measureGroup="logistics" count="0" hidden="1"/>
    <cacheHierarchy uniqueName="[Measures].[__XL_Count logistics 1]" caption="__XL_Count logistics 1" measure="1" displayFolder="" measureGroup="logistic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Count of Delivery_status]" caption="Count of Delivery_status" measure="1" displayFolder="" measureGroup="logistics 1" count="0" hidden="1">
      <extLst>
        <ext xmlns:x15="http://schemas.microsoft.com/office/spreadsheetml/2010/11/main" uri="{B97F6D7D-B522-45F9-BDA1-12C45D357490}">
          <x15:cacheHierarchy aggregatedColumn="17"/>
        </ext>
      </extLst>
    </cacheHierarchy>
    <cacheHierarchy uniqueName="[Measures].[Count of OrderID]" caption="Count of OrderID" measure="1" displayFolder="" measureGroup="logistics 1"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Shipping_Cost]" caption="Sum of Shipping_Cost" measure="1" displayFolder="" measureGroup="logistics 1" count="0" hidden="1">
      <extLst>
        <ext xmlns:x15="http://schemas.microsoft.com/office/spreadsheetml/2010/11/main" uri="{B97F6D7D-B522-45F9-BDA1-12C45D357490}">
          <x15:cacheHierarchy aggregatedColumn="15"/>
        </ext>
      </extLst>
    </cacheHierarchy>
    <cacheHierarchy uniqueName="[Measures].[Sum of Actual_transit_days]" caption="Sum of Actual_transit_days" measure="1" displayFolder="" measureGroup="logistics 1" count="0" hidden="1">
      <extLst>
        <ext xmlns:x15="http://schemas.microsoft.com/office/spreadsheetml/2010/11/main" uri="{B97F6D7D-B522-45F9-BDA1-12C45D357490}">
          <x15:cacheHierarchy aggregatedColumn="16"/>
        </ext>
      </extLst>
    </cacheHierarchy>
    <cacheHierarchy uniqueName="[Measures].[Average of Actual_transit_days]" caption="Average of Actual_transit_days" measure="1" displayFolder="" measureGroup="logistics 1" count="0" hidden="1">
      <extLst>
        <ext xmlns:x15="http://schemas.microsoft.com/office/spreadsheetml/2010/11/main" uri="{B97F6D7D-B522-45F9-BDA1-12C45D357490}">
          <x15:cacheHierarchy aggregatedColumn="16"/>
        </ext>
      </extLst>
    </cacheHierarchy>
  </cacheHierarchies>
  <kpis count="0"/>
  <dimensions count="5">
    <dimension name="logistics" uniqueName="[logistics]" caption="logistics"/>
    <dimension name="logistics 1" uniqueName="[logistics 1]" caption="logistics 1"/>
    <dimension measure="1" name="Measures" uniqueName="[Measures]" caption="Measures"/>
    <dimension name="orders" uniqueName="[orders]" caption="orders"/>
    <dimension name="orders 1" uniqueName="[orders 1]" caption="orders 1"/>
  </dimensions>
  <measureGroups count="4">
    <measureGroup name="logistics" caption="logistics"/>
    <measureGroup name="logistics 1" caption="logistics 1"/>
    <measureGroup name="orders" caption="orders"/>
    <measureGroup name="orders 1" caption="orders 1"/>
  </measureGroups>
  <maps count="4">
    <map measureGroup="0"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sidd" refreshedDate="46190.799423958335" backgroundQuery="1" createdVersion="8" refreshedVersion="8" minRefreshableVersion="3" recordCount="0" supportSubquery="1" supportAdvancedDrill="1" xr:uid="{1146592C-96DA-4A89-91F3-D1FF2B77E0EB}">
  <cacheSource type="external" connectionId="9"/>
  <cacheFields count="4">
    <cacheField name="[logistics 1].[Delivery_status].[Delivery_status]" caption="Delivery_status" numFmtId="0" hierarchy="17" level="1">
      <sharedItems count="1">
        <s v="Late"/>
      </sharedItems>
    </cacheField>
    <cacheField name="[Measures].[Average of Actual_transit_days]" caption="Average of Actual_transit_days" numFmtId="0" hierarchy="37" level="32767"/>
    <cacheField name="[orders 1].[Product_Category].[Product_Category]" caption="Product_Category" numFmtId="0" hierarchy="25" level="1">
      <sharedItems containsSemiMixedTypes="0" containsNonDate="0" containsString="0"/>
    </cacheField>
    <cacheField name="[logistics 1].[Actual_transit_days].[Actual_transit_days]" caption="Actual_transit_days" numFmtId="0" hierarchy="16" level="1">
      <sharedItems containsSemiMixedTypes="0" containsNonDate="0" containsString="0"/>
    </cacheField>
  </cacheFields>
  <cacheHierarchies count="38">
    <cacheHierarchy uniqueName="[logistics].[OrderID]" caption="OrderID" attribute="1" defaultMemberUniqueName="[logistics].[OrderID].[All]" allUniqueName="[logistics].[OrderID].[All]" dimensionUniqueName="[logistics]" displayFolder="" count="0" memberValueDatatype="130" unbalanced="0"/>
    <cacheHierarchy uniqueName="[logistics].[Carrier]" caption="Carrier" attribute="1" defaultMemberUniqueName="[logistics].[Carrier].[All]" allUniqueName="[logistics].[Carrier].[All]" dimensionUniqueName="[logistics]" displayFolder="" count="0" memberValueDatatype="130" unbalanced="0"/>
    <cacheHierarchy uniqueName="[logistics].[Order_Date]" caption="Order_Date" attribute="1" time="1" defaultMemberUniqueName="[logistics].[Order_Date].[All]" allUniqueName="[logistics].[Order_Date].[All]" dimensionUniqueName="[logistics]" displayFolder="" count="0" memberValueDatatype="7" unbalanced="0"/>
    <cacheHierarchy uniqueName="[logistics].[Promised_Delivery_Days]" caption="Promised_Delivery_Days" attribute="1" defaultMemberUniqueName="[logistics].[Promised_Delivery_Days].[All]" allUniqueName="[logistics].[Promised_Delivery_Days].[All]" dimensionUniqueName="[logistics]" displayFolder="" count="0" memberValueDatatype="20" unbalanced="0"/>
    <cacheHierarchy uniqueName="[logistics].[Actual_Delivery_Date]" caption="Actual_Delivery_Date" attribute="1" time="1" defaultMemberUniqueName="[logistics].[Actual_Delivery_Date].[All]" allUniqueName="[logistics].[Actual_Delivery_Date].[All]" dimensionUniqueName="[logistics]" displayFolder="" count="0" memberValueDatatype="7" unbalanced="0"/>
    <cacheHierarchy uniqueName="[logistics].[Shipping_Cost]" caption="Shipping_Cost" attribute="1" defaultMemberUniqueName="[logistics].[Shipping_Cost].[All]" allUniqueName="[logistics].[Shipping_Cost].[All]" dimensionUniqueName="[logistics]" displayFolder="" count="0" memberValueDatatype="5" unbalanced="0"/>
    <cacheHierarchy uniqueName="[logistics].[Actual_transit_days]" caption="Actual_transit_days" attribute="1" defaultMemberUniqueName="[logistics].[Actual_transit_days].[All]" allUniqueName="[logistics].[Actual_transit_days].[All]" dimensionUniqueName="[logistics]" displayFolder="" count="0" memberValueDatatype="20" unbalanced="0"/>
    <cacheHierarchy uniqueName="[logistics].[Delivery_status]" caption="Delivery_status" attribute="1" defaultMemberUniqueName="[logistics].[Delivery_status].[All]" allUniqueName="[logistics].[Delivery_status].[All]" dimensionUniqueName="[logistics]" displayFolder="" count="0" memberValueDatatype="130" unbalanced="0"/>
    <cacheHierarchy uniqueName="[logistics].[Destination_Zone]" caption="Destination_Zone" attribute="1" defaultMemberUniqueName="[logistics].[Destination_Zone].[All]" allUniqueName="[logistics].[Destination_Zone].[All]" dimensionUniqueName="[logistics]" displayFolder="" count="0" memberValueDatatype="130" unbalanced="0"/>
    <cacheHierarchy uniqueName="[logistics].[Customer_Type]" caption="Customer_Type" attribute="1" defaultMemberUniqueName="[logistics].[Customer_Type].[All]" allUniqueName="[logistics].[Customer_Type].[All]" dimensionUniqueName="[logistics]" displayFolder="" count="0" memberValueDatatype="130" unbalanced="0"/>
    <cacheHierarchy uniqueName="[logistics 1].[OrderID]" caption="OrderID" attribute="1" defaultMemberUniqueName="[logistics 1].[OrderID].[All]" allUniqueName="[logistics 1].[OrderID].[All]" dimensionUniqueName="[logistics 1]" displayFolder="" count="2" memberValueDatatype="130" unbalanced="0"/>
    <cacheHierarchy uniqueName="[logistics 1].[Carrier]" caption="Carrier" attribute="1" defaultMemberUniqueName="[logistics 1].[Carrier].[All]" allUniqueName="[logistics 1].[Carrier].[All]" dimensionUniqueName="[logistics 1]" displayFolder="" count="0" memberValueDatatype="130" unbalanced="0"/>
    <cacheHierarchy uniqueName="[logistics 1].[Order_Date]" caption="Order_Date" attribute="1" time="1" defaultMemberUniqueName="[logistics 1].[Order_Date].[All]" allUniqueName="[logistics 1].[Order_Date].[All]" dimensionUniqueName="[logistics 1]" displayFolder="" count="2" memberValueDatatype="7" unbalanced="0"/>
    <cacheHierarchy uniqueName="[logistics 1].[Promised_Delivery_Days]" caption="Promised_Delivery_Days" attribute="1" defaultMemberUniqueName="[logistics 1].[Promised_Delivery_Days].[All]" allUniqueName="[logistics 1].[Promised_Delivery_Days].[All]" dimensionUniqueName="[logistics 1]" displayFolder="" count="0" memberValueDatatype="20" unbalanced="0"/>
    <cacheHierarchy uniqueName="[logistics 1].[Actual_Delivery_Date]" caption="Actual_Delivery_Date" attribute="1" time="1" defaultMemberUniqueName="[logistics 1].[Actual_Delivery_Date].[All]" allUniqueName="[logistics 1].[Actual_Delivery_Date].[All]" dimensionUniqueName="[logistics 1]" displayFolder="" count="2" memberValueDatatype="7" unbalanced="0"/>
    <cacheHierarchy uniqueName="[logistics 1].[Shipping_Cost]" caption="Shipping_Cost" attribute="1" defaultMemberUniqueName="[logistics 1].[Shipping_Cost].[All]" allUniqueName="[logistics 1].[Shipping_Cost].[All]" dimensionUniqueName="[logistics 1]" displayFolder="" count="0" memberValueDatatype="20" unbalanced="0"/>
    <cacheHierarchy uniqueName="[logistics 1].[Actual_transit_days]" caption="Actual_transit_days" attribute="1" defaultMemberUniqueName="[logistics 1].[Actual_transit_days].[All]" allUniqueName="[logistics 1].[Actual_transit_days].[All]" dimensionUniqueName="[logistics 1]" displayFolder="" count="2" memberValueDatatype="20" unbalanced="0">
      <fieldsUsage count="2">
        <fieldUsage x="-1"/>
        <fieldUsage x="3"/>
      </fieldsUsage>
    </cacheHierarchy>
    <cacheHierarchy uniqueName="[logistics 1].[Delivery_status]" caption="Delivery_status" attribute="1" defaultMemberUniqueName="[logistics 1].[Delivery_status].[All]" allUniqueName="[logistics 1].[Delivery_status].[All]" dimensionUniqueName="[logistics 1]" displayFolder="" count="2" memberValueDatatype="130" unbalanced="0">
      <fieldsUsage count="2">
        <fieldUsage x="-1"/>
        <fieldUsage x="0"/>
      </fieldsUsage>
    </cacheHierarchy>
    <cacheHierarchy uniqueName="[logistics 1].[Destination_Zone]" caption="Destination_Zone" attribute="1" defaultMemberUniqueName="[logistics 1].[Destination_Zone].[All]" allUniqueName="[logistics 1].[Destination_Zone].[All]" dimensionUniqueName="[logistics 1]" displayFolder="" count="0" memberValueDatatype="130" unbalanced="0"/>
    <cacheHierarchy uniqueName="[logistics 1].[Customer_Type]" caption="Customer_Type" attribute="1" defaultMemberUniqueName="[logistics 1].[Customer_Type].[All]" allUniqueName="[logistics 1].[Customer_Type].[All]" dimensionUniqueName="[logistics 1]" displayFolder="" count="0" memberValueDatatype="130" unbalanced="0"/>
    <cacheHierarchy uniqueName="[orders].[OrderID]" caption="OrderID" attribute="1" defaultMemberUniqueName="[orders].[OrderID].[All]" allUniqueName="[orders].[OrderID].[All]" dimensionUniqueName="[orders]" displayFolder="" count="0" memberValueDatatype="130" unbalanced="0"/>
    <cacheHierarchy uniqueName="[orders].[Product_Category]" caption="Product_Category" attribute="1" defaultMemberUniqueName="[orders].[Product_Category].[All]" allUniqueName="[orders].[Product_Category].[All]" dimensionUniqueName="[orders]" displayFolder="" count="0" memberValueDatatype="130" unbalanced="0"/>
    <cacheHierarchy uniqueName="[orders].[Destination_Zone]" caption="Destination_Zone" attribute="1" defaultMemberUniqueName="[orders].[Destination_Zone].[All]" allUniqueName="[orders].[Destination_Zone].[All]" dimensionUniqueName="[orders]" displayFolder="" count="0" memberValueDatatype="130" unbalanced="0"/>
    <cacheHierarchy uniqueName="[orders].[Customer_Type]" caption="Customer_Type" attribute="1" defaultMemberUniqueName="[orders].[Customer_Type].[All]" allUniqueName="[orders].[Customer_Type].[All]" dimensionUniqueName="[orders]" displayFolder="" count="0" memberValueDatatype="130" unbalanced="0"/>
    <cacheHierarchy uniqueName="[orders 1].[OrderID]" caption="OrderID" attribute="1" defaultMemberUniqueName="[orders 1].[OrderID].[All]" allUniqueName="[orders 1].[OrderID].[All]" dimensionUniqueName="[orders 1]" displayFolder="" count="0" memberValueDatatype="130" unbalanced="0"/>
    <cacheHierarchy uniqueName="[orders 1].[Product_Category]" caption="Product_Category" attribute="1" defaultMemberUniqueName="[orders 1].[Product_Category].[All]" allUniqueName="[orders 1].[Product_Category].[All]" dimensionUniqueName="[orders 1]" displayFolder="" count="2" memberValueDatatype="130" unbalanced="0">
      <fieldsUsage count="2">
        <fieldUsage x="-1"/>
        <fieldUsage x="2"/>
      </fieldsUsage>
    </cacheHierarchy>
    <cacheHierarchy uniqueName="[orders 1].[Destination_Zone]" caption="Destination_Zone" attribute="1" defaultMemberUniqueName="[orders 1].[Destination_Zone].[All]" allUniqueName="[orders 1].[Destination_Zone].[All]" dimensionUniqueName="[orders 1]" displayFolder="" count="0" memberValueDatatype="130" unbalanced="0"/>
    <cacheHierarchy uniqueName="[orders 1].[Customer_Type]" caption="Customer_Type" attribute="1" defaultMemberUniqueName="[orders 1].[Customer_Type].[All]" allUniqueName="[orders 1].[Customer_Type].[All]" dimensionUniqueName="[orders 1]" displayFolder="" count="0" memberValueDatatype="130" unbalanced="0"/>
    <cacheHierarchy uniqueName="[Measures].[__XL_Count orders]" caption="__XL_Count orders" measure="1" displayFolder="" measureGroup="orders" count="0" hidden="1"/>
    <cacheHierarchy uniqueName="[Measures].[__XL_Count logistics]" caption="__XL_Count logistics" measure="1" displayFolder="" measureGroup="logistics" count="0" hidden="1"/>
    <cacheHierarchy uniqueName="[Measures].[__XL_Count logistics 1]" caption="__XL_Count logistics 1" measure="1" displayFolder="" measureGroup="logistic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Count of Delivery_status]" caption="Count of Delivery_status" measure="1" displayFolder="" measureGroup="logistics 1" count="0" hidden="1">
      <extLst>
        <ext xmlns:x15="http://schemas.microsoft.com/office/spreadsheetml/2010/11/main" uri="{B97F6D7D-B522-45F9-BDA1-12C45D357490}">
          <x15:cacheHierarchy aggregatedColumn="17"/>
        </ext>
      </extLst>
    </cacheHierarchy>
    <cacheHierarchy uniqueName="[Measures].[Count of OrderID]" caption="Count of OrderID" measure="1" displayFolder="" measureGroup="logistics 1" count="0" hidden="1">
      <extLst>
        <ext xmlns:x15="http://schemas.microsoft.com/office/spreadsheetml/2010/11/main" uri="{B97F6D7D-B522-45F9-BDA1-12C45D357490}">
          <x15:cacheHierarchy aggregatedColumn="10"/>
        </ext>
      </extLst>
    </cacheHierarchy>
    <cacheHierarchy uniqueName="[Measures].[Sum of Shipping_Cost]" caption="Sum of Shipping_Cost" measure="1" displayFolder="" measureGroup="logistics 1" count="0" hidden="1">
      <extLst>
        <ext xmlns:x15="http://schemas.microsoft.com/office/spreadsheetml/2010/11/main" uri="{B97F6D7D-B522-45F9-BDA1-12C45D357490}">
          <x15:cacheHierarchy aggregatedColumn="15"/>
        </ext>
      </extLst>
    </cacheHierarchy>
    <cacheHierarchy uniqueName="[Measures].[Sum of Actual_transit_days]" caption="Sum of Actual_transit_days" measure="1" displayFolder="" measureGroup="logistics 1" count="0" hidden="1">
      <extLst>
        <ext xmlns:x15="http://schemas.microsoft.com/office/spreadsheetml/2010/11/main" uri="{B97F6D7D-B522-45F9-BDA1-12C45D357490}">
          <x15:cacheHierarchy aggregatedColumn="16"/>
        </ext>
      </extLst>
    </cacheHierarchy>
    <cacheHierarchy uniqueName="[Measures].[Average of Actual_transit_days]" caption="Average of Actual_transit_days" measure="1" displayFolder="" measureGroup="logistics 1" count="0" oneField="1" hidden="1">
      <fieldsUsage count="1">
        <fieldUsage x="1"/>
      </fieldsUsage>
      <extLst>
        <ext xmlns:x15="http://schemas.microsoft.com/office/spreadsheetml/2010/11/main" uri="{B97F6D7D-B522-45F9-BDA1-12C45D357490}">
          <x15:cacheHierarchy aggregatedColumn="16"/>
        </ext>
      </extLst>
    </cacheHierarchy>
  </cacheHierarchies>
  <kpis count="0"/>
  <dimensions count="5">
    <dimension name="logistics" uniqueName="[logistics]" caption="logistics"/>
    <dimension name="logistics 1" uniqueName="[logistics 1]" caption="logistics 1"/>
    <dimension measure="1" name="Measures" uniqueName="[Measures]" caption="Measures"/>
    <dimension name="orders" uniqueName="[orders]" caption="orders"/>
    <dimension name="orders 1" uniqueName="[orders 1]" caption="orders 1"/>
  </dimensions>
  <measureGroups count="4">
    <measureGroup name="logistics" caption="logistics"/>
    <measureGroup name="logistics 1" caption="logistics 1"/>
    <measureGroup name="orders" caption="orders"/>
    <measureGroup name="orders 1" caption="orders 1"/>
  </measureGroups>
  <maps count="4">
    <map measureGroup="0"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sidd" refreshedDate="46190.807730439818" backgroundQuery="1" createdVersion="8" refreshedVersion="8" minRefreshableVersion="3" recordCount="0" supportSubquery="1" supportAdvancedDrill="1" xr:uid="{6A72ECC8-9CA7-47E7-804D-73E4774757BB}">
  <cacheSource type="external" connectionId="9"/>
  <cacheFields count="5">
    <cacheField name="[logistics 1].[Carrier].[Carrier]" caption="Carrier" numFmtId="0" hierarchy="11" level="1">
      <sharedItems count="3">
        <s v="BlueDart"/>
        <s v="DHL"/>
        <s v="FedEx"/>
      </sharedItems>
    </cacheField>
    <cacheField name="[logistics 1].[Delivery_status].[Delivery_status]" caption="Delivery_status" numFmtId="0" hierarchy="17" level="1">
      <sharedItems count="2">
        <s v="Late"/>
        <s v="On time" u="1"/>
      </sharedItems>
    </cacheField>
    <cacheField name="[Measures].[Count of OrderID]" caption="Count of OrderID" numFmtId="0" hierarchy="34" level="32767"/>
    <cacheField name="[orders 1].[Product_Category].[Product_Category]" caption="Product_Category" numFmtId="0" hierarchy="25" level="1">
      <sharedItems containsSemiMixedTypes="0" containsNonDate="0" containsString="0"/>
    </cacheField>
    <cacheField name="Dummy0" numFmtId="0" hierarchy="38" level="32767">
      <extLst>
        <ext xmlns:x14="http://schemas.microsoft.com/office/spreadsheetml/2009/9/main" uri="{63CAB8AC-B538-458d-9737-405883B0398D}">
          <x14:cacheField ignore="1"/>
        </ext>
      </extLst>
    </cacheField>
  </cacheFields>
  <cacheHierarchies count="39">
    <cacheHierarchy uniqueName="[logistics].[OrderID]" caption="OrderID" attribute="1" defaultMemberUniqueName="[logistics].[OrderID].[All]" allUniqueName="[logistics].[OrderID].[All]" dimensionUniqueName="[logistics]" displayFolder="" count="0" memberValueDatatype="130" unbalanced="0"/>
    <cacheHierarchy uniqueName="[logistics].[Carrier]" caption="Carrier" attribute="1" defaultMemberUniqueName="[logistics].[Carrier].[All]" allUniqueName="[logistics].[Carrier].[All]" dimensionUniqueName="[logistics]" displayFolder="" count="0" memberValueDatatype="130" unbalanced="0"/>
    <cacheHierarchy uniqueName="[logistics].[Order_Date]" caption="Order_Date" attribute="1" time="1" defaultMemberUniqueName="[logistics].[Order_Date].[All]" allUniqueName="[logistics].[Order_Date].[All]" dimensionUniqueName="[logistics]" displayFolder="" count="0" memberValueDatatype="7" unbalanced="0"/>
    <cacheHierarchy uniqueName="[logistics].[Promised_Delivery_Days]" caption="Promised_Delivery_Days" attribute="1" defaultMemberUniqueName="[logistics].[Promised_Delivery_Days].[All]" allUniqueName="[logistics].[Promised_Delivery_Days].[All]" dimensionUniqueName="[logistics]" displayFolder="" count="0" memberValueDatatype="20" unbalanced="0"/>
    <cacheHierarchy uniqueName="[logistics].[Actual_Delivery_Date]" caption="Actual_Delivery_Date" attribute="1" time="1" defaultMemberUniqueName="[logistics].[Actual_Delivery_Date].[All]" allUniqueName="[logistics].[Actual_Delivery_Date].[All]" dimensionUniqueName="[logistics]" displayFolder="" count="0" memberValueDatatype="7" unbalanced="0"/>
    <cacheHierarchy uniqueName="[logistics].[Shipping_Cost]" caption="Shipping_Cost" attribute="1" defaultMemberUniqueName="[logistics].[Shipping_Cost].[All]" allUniqueName="[logistics].[Shipping_Cost].[All]" dimensionUniqueName="[logistics]" displayFolder="" count="0" memberValueDatatype="5" unbalanced="0"/>
    <cacheHierarchy uniqueName="[logistics].[Actual_transit_days]" caption="Actual_transit_days" attribute="1" defaultMemberUniqueName="[logistics].[Actual_transit_days].[All]" allUniqueName="[logistics].[Actual_transit_days].[All]" dimensionUniqueName="[logistics]" displayFolder="" count="0" memberValueDatatype="20" unbalanced="0"/>
    <cacheHierarchy uniqueName="[logistics].[Delivery_status]" caption="Delivery_status" attribute="1" defaultMemberUniqueName="[logistics].[Delivery_status].[All]" allUniqueName="[logistics].[Delivery_status].[All]" dimensionUniqueName="[logistics]" displayFolder="" count="0" memberValueDatatype="130" unbalanced="0"/>
    <cacheHierarchy uniqueName="[logistics].[Destination_Zone]" caption="Destination_Zone" attribute="1" defaultMemberUniqueName="[logistics].[Destination_Zone].[All]" allUniqueName="[logistics].[Destination_Zone].[All]" dimensionUniqueName="[logistics]" displayFolder="" count="0" memberValueDatatype="130" unbalanced="0"/>
    <cacheHierarchy uniqueName="[logistics].[Customer_Type]" caption="Customer_Type" attribute="1" defaultMemberUniqueName="[logistics].[Customer_Type].[All]" allUniqueName="[logistics].[Customer_Type].[All]" dimensionUniqueName="[logistics]" displayFolder="" count="0" memberValueDatatype="130" unbalanced="0"/>
    <cacheHierarchy uniqueName="[logistics 1].[OrderID]" caption="OrderID" attribute="1" defaultMemberUniqueName="[logistics 1].[OrderID].[All]" allUniqueName="[logistics 1].[OrderID].[All]" dimensionUniqueName="[logistics 1]" displayFolder="" count="2" memberValueDatatype="130" unbalanced="0"/>
    <cacheHierarchy uniqueName="[logistics 1].[Carrier]" caption="Carrier" attribute="1" defaultMemberUniqueName="[logistics 1].[Carrier].[All]" allUniqueName="[logistics 1].[Carrier].[All]" dimensionUniqueName="[logistics 1]" displayFolder="" count="2" memberValueDatatype="130" unbalanced="0">
      <fieldsUsage count="2">
        <fieldUsage x="-1"/>
        <fieldUsage x="0"/>
      </fieldsUsage>
    </cacheHierarchy>
    <cacheHierarchy uniqueName="[logistics 1].[Order_Date]" caption="Order_Date" attribute="1" time="1" defaultMemberUniqueName="[logistics 1].[Order_Date].[All]" allUniqueName="[logistics 1].[Order_Date].[All]" dimensionUniqueName="[logistics 1]" displayFolder="" count="2" memberValueDatatype="7" unbalanced="0"/>
    <cacheHierarchy uniqueName="[logistics 1].[Promised_Delivery_Days]" caption="Promised_Delivery_Days" attribute="1" defaultMemberUniqueName="[logistics 1].[Promised_Delivery_Days].[All]" allUniqueName="[logistics 1].[Promised_Delivery_Days].[All]" dimensionUniqueName="[logistics 1]" displayFolder="" count="0" memberValueDatatype="20" unbalanced="0"/>
    <cacheHierarchy uniqueName="[logistics 1].[Actual_Delivery_Date]" caption="Actual_Delivery_Date" attribute="1" time="1" defaultMemberUniqueName="[logistics 1].[Actual_Delivery_Date].[All]" allUniqueName="[logistics 1].[Actual_Delivery_Date].[All]" dimensionUniqueName="[logistics 1]" displayFolder="" count="2" memberValueDatatype="7" unbalanced="0"/>
    <cacheHierarchy uniqueName="[logistics 1].[Shipping_Cost]" caption="Shipping_Cost" attribute="1" defaultMemberUniqueName="[logistics 1].[Shipping_Cost].[All]" allUniqueName="[logistics 1].[Shipping_Cost].[All]" dimensionUniqueName="[logistics 1]" displayFolder="" count="0" memberValueDatatype="20" unbalanced="0"/>
    <cacheHierarchy uniqueName="[logistics 1].[Actual_transit_days]" caption="Actual_transit_days" attribute="1" defaultMemberUniqueName="[logistics 1].[Actual_transit_days].[All]" allUniqueName="[logistics 1].[Actual_transit_days].[All]" dimensionUniqueName="[logistics 1]" displayFolder="" count="2" memberValueDatatype="20" unbalanced="0"/>
    <cacheHierarchy uniqueName="[logistics 1].[Delivery_status]" caption="Delivery_status" attribute="1" defaultMemberUniqueName="[logistics 1].[Delivery_status].[All]" allUniqueName="[logistics 1].[Delivery_status].[All]" dimensionUniqueName="[logistics 1]" displayFolder="" count="2" memberValueDatatype="130" unbalanced="0">
      <fieldsUsage count="2">
        <fieldUsage x="-1"/>
        <fieldUsage x="1"/>
      </fieldsUsage>
    </cacheHierarchy>
    <cacheHierarchy uniqueName="[logistics 1].[Destination_Zone]" caption="Destination_Zone" attribute="1" defaultMemberUniqueName="[logistics 1].[Destination_Zone].[All]" allUniqueName="[logistics 1].[Destination_Zone].[All]" dimensionUniqueName="[logistics 1]" displayFolder="" count="0" memberValueDatatype="130" unbalanced="0"/>
    <cacheHierarchy uniqueName="[logistics 1].[Customer_Type]" caption="Customer_Type" attribute="1" defaultMemberUniqueName="[logistics 1].[Customer_Type].[All]" allUniqueName="[logistics 1].[Customer_Type].[All]" dimensionUniqueName="[logistics 1]" displayFolder="" count="0" memberValueDatatype="130" unbalanced="0"/>
    <cacheHierarchy uniqueName="[orders].[OrderID]" caption="OrderID" attribute="1" defaultMemberUniqueName="[orders].[OrderID].[All]" allUniqueName="[orders].[OrderID].[All]" dimensionUniqueName="[orders]" displayFolder="" count="0" memberValueDatatype="130" unbalanced="0"/>
    <cacheHierarchy uniqueName="[orders].[Product_Category]" caption="Product_Category" attribute="1" defaultMemberUniqueName="[orders].[Product_Category].[All]" allUniqueName="[orders].[Product_Category].[All]" dimensionUniqueName="[orders]" displayFolder="" count="0" memberValueDatatype="130" unbalanced="0"/>
    <cacheHierarchy uniqueName="[orders].[Destination_Zone]" caption="Destination_Zone" attribute="1" defaultMemberUniqueName="[orders].[Destination_Zone].[All]" allUniqueName="[orders].[Destination_Zone].[All]" dimensionUniqueName="[orders]" displayFolder="" count="0" memberValueDatatype="130" unbalanced="0"/>
    <cacheHierarchy uniqueName="[orders].[Customer_Type]" caption="Customer_Type" attribute="1" defaultMemberUniqueName="[orders].[Customer_Type].[All]" allUniqueName="[orders].[Customer_Type].[All]" dimensionUniqueName="[orders]" displayFolder="" count="0" memberValueDatatype="130" unbalanced="0"/>
    <cacheHierarchy uniqueName="[orders 1].[OrderID]" caption="OrderID" attribute="1" defaultMemberUniqueName="[orders 1].[OrderID].[All]" allUniqueName="[orders 1].[OrderID].[All]" dimensionUniqueName="[orders 1]" displayFolder="" count="0" memberValueDatatype="130" unbalanced="0"/>
    <cacheHierarchy uniqueName="[orders 1].[Product_Category]" caption="Product_Category" attribute="1" defaultMemberUniqueName="[orders 1].[Product_Category].[All]" allUniqueName="[orders 1].[Product_Category].[All]" dimensionUniqueName="[orders 1]" displayFolder="" count="2" memberValueDatatype="130" unbalanced="0">
      <fieldsUsage count="2">
        <fieldUsage x="-1"/>
        <fieldUsage x="3"/>
      </fieldsUsage>
    </cacheHierarchy>
    <cacheHierarchy uniqueName="[orders 1].[Destination_Zone]" caption="Destination_Zone" attribute="1" defaultMemberUniqueName="[orders 1].[Destination_Zone].[All]" allUniqueName="[orders 1].[Destination_Zone].[All]" dimensionUniqueName="[orders 1]" displayFolder="" count="0" memberValueDatatype="130" unbalanced="0"/>
    <cacheHierarchy uniqueName="[orders 1].[Customer_Type]" caption="Customer_Type" attribute="1" defaultMemberUniqueName="[orders 1].[Customer_Type].[All]" allUniqueName="[orders 1].[Customer_Type].[All]" dimensionUniqueName="[orders 1]" displayFolder="" count="0" memberValueDatatype="130" unbalanced="0"/>
    <cacheHierarchy uniqueName="[Measures].[__XL_Count orders]" caption="__XL_Count orders" measure="1" displayFolder="" measureGroup="orders" count="0" hidden="1"/>
    <cacheHierarchy uniqueName="[Measures].[__XL_Count logistics]" caption="__XL_Count logistics" measure="1" displayFolder="" measureGroup="logistics" count="0" hidden="1"/>
    <cacheHierarchy uniqueName="[Measures].[__XL_Count logistics 1]" caption="__XL_Count logistics 1" measure="1" displayFolder="" measureGroup="logistic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Count of Delivery_status]" caption="Count of Delivery_status" measure="1" displayFolder="" measureGroup="logistics 1" count="0" hidden="1">
      <extLst>
        <ext xmlns:x15="http://schemas.microsoft.com/office/spreadsheetml/2010/11/main" uri="{B97F6D7D-B522-45F9-BDA1-12C45D357490}">
          <x15:cacheHierarchy aggregatedColumn="17"/>
        </ext>
      </extLst>
    </cacheHierarchy>
    <cacheHierarchy uniqueName="[Measures].[Count of OrderID]" caption="Count of OrderID" measure="1" displayFolder="" measureGroup="logistics 1"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Shipping_Cost]" caption="Sum of Shipping_Cost" measure="1" displayFolder="" measureGroup="logistics 1" count="0" hidden="1">
      <extLst>
        <ext xmlns:x15="http://schemas.microsoft.com/office/spreadsheetml/2010/11/main" uri="{B97F6D7D-B522-45F9-BDA1-12C45D357490}">
          <x15:cacheHierarchy aggregatedColumn="15"/>
        </ext>
      </extLst>
    </cacheHierarchy>
    <cacheHierarchy uniqueName="[Measures].[Sum of Actual_transit_days]" caption="Sum of Actual_transit_days" measure="1" displayFolder="" measureGroup="logistics 1" count="0" hidden="1">
      <extLst>
        <ext xmlns:x15="http://schemas.microsoft.com/office/spreadsheetml/2010/11/main" uri="{B97F6D7D-B522-45F9-BDA1-12C45D357490}">
          <x15:cacheHierarchy aggregatedColumn="16"/>
        </ext>
      </extLst>
    </cacheHierarchy>
    <cacheHierarchy uniqueName="[Measures].[Average of Actual_transit_days]" caption="Average of Actual_transit_days" measure="1" displayFolder="" measureGroup="logistics 1" count="0" hidden="1">
      <extLst>
        <ext xmlns:x15="http://schemas.microsoft.com/office/spreadsheetml/2010/11/main" uri="{B97F6D7D-B522-45F9-BDA1-12C45D357490}">
          <x15:cacheHierarchy aggregatedColumn="16"/>
        </ext>
      </extLst>
    </cacheHierarchy>
    <cacheHierarchy uniqueName="Dummy0" caption="OrderID" measure="1" count="0">
      <extLst>
        <ext xmlns:x14="http://schemas.microsoft.com/office/spreadsheetml/2009/9/main" uri="{8CF416AD-EC4C-4aba-99F5-12A058AE0983}">
          <x14:cacheHierarchy ignore="1"/>
        </ext>
      </extLst>
    </cacheHierarchy>
  </cacheHierarchies>
  <kpis count="0"/>
  <dimensions count="5">
    <dimension name="logistics" uniqueName="[logistics]" caption="logistics"/>
    <dimension name="logistics 1" uniqueName="[logistics 1]" caption="logistics 1"/>
    <dimension measure="1" name="Measures" uniqueName="[Measures]" caption="Measures"/>
    <dimension name="orders" uniqueName="[orders]" caption="orders"/>
    <dimension name="orders 1" uniqueName="[orders 1]" caption="orders 1"/>
  </dimensions>
  <measureGroups count="4">
    <measureGroup name="logistics" caption="logistics"/>
    <measureGroup name="logistics 1" caption="logistics 1"/>
    <measureGroup name="orders" caption="orders"/>
    <measureGroup name="orders 1" caption="orders 1"/>
  </measureGroups>
  <maps count="4">
    <map measureGroup="0"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sidd" refreshedDate="46190.778152662038" backgroundQuery="1" createdVersion="3" refreshedVersion="8" minRefreshableVersion="3" recordCount="0" supportSubquery="1" supportAdvancedDrill="1" xr:uid="{350ACE1B-E244-4DF0-8A70-99284C23B4EF}">
  <cacheSource type="external" connectionId="9">
    <extLst>
      <ext xmlns:x14="http://schemas.microsoft.com/office/spreadsheetml/2009/9/main" uri="{F057638F-6D5F-4e77-A914-E7F072B9BCA8}">
        <x14:sourceConnection name="ThisWorkbookDataModel"/>
      </ext>
    </extLst>
  </cacheSource>
  <cacheFields count="0"/>
  <cacheHierarchies count="38">
    <cacheHierarchy uniqueName="[logistics].[OrderID]" caption="OrderID" attribute="1" defaultMemberUniqueName="[logistics].[OrderID].[All]" allUniqueName="[logistics].[OrderID].[All]" dimensionUniqueName="[logistics]" displayFolder="" count="0" memberValueDatatype="130" unbalanced="0"/>
    <cacheHierarchy uniqueName="[logistics].[Carrier]" caption="Carrier" attribute="1" defaultMemberUniqueName="[logistics].[Carrier].[All]" allUniqueName="[logistics].[Carrier].[All]" dimensionUniqueName="[logistics]" displayFolder="" count="0" memberValueDatatype="130" unbalanced="0"/>
    <cacheHierarchy uniqueName="[logistics].[Order_Date]" caption="Order_Date" attribute="1" time="1" defaultMemberUniqueName="[logistics].[Order_Date].[All]" allUniqueName="[logistics].[Order_Date].[All]" dimensionUniqueName="[logistics]" displayFolder="" count="0" memberValueDatatype="7" unbalanced="0"/>
    <cacheHierarchy uniqueName="[logistics].[Promised_Delivery_Days]" caption="Promised_Delivery_Days" attribute="1" defaultMemberUniqueName="[logistics].[Promised_Delivery_Days].[All]" allUniqueName="[logistics].[Promised_Delivery_Days].[All]" dimensionUniqueName="[logistics]" displayFolder="" count="0" memberValueDatatype="20" unbalanced="0"/>
    <cacheHierarchy uniqueName="[logistics].[Actual_Delivery_Date]" caption="Actual_Delivery_Date" attribute="1" time="1" defaultMemberUniqueName="[logistics].[Actual_Delivery_Date].[All]" allUniqueName="[logistics].[Actual_Delivery_Date].[All]" dimensionUniqueName="[logistics]" displayFolder="" count="0" memberValueDatatype="7" unbalanced="0"/>
    <cacheHierarchy uniqueName="[logistics].[Shipping_Cost]" caption="Shipping_Cost" attribute="1" defaultMemberUniqueName="[logistics].[Shipping_Cost].[All]" allUniqueName="[logistics].[Shipping_Cost].[All]" dimensionUniqueName="[logistics]" displayFolder="" count="0" memberValueDatatype="5" unbalanced="0"/>
    <cacheHierarchy uniqueName="[logistics].[Actual_transit_days]" caption="Actual_transit_days" attribute="1" defaultMemberUniqueName="[logistics].[Actual_transit_days].[All]" allUniqueName="[logistics].[Actual_transit_days].[All]" dimensionUniqueName="[logistics]" displayFolder="" count="0" memberValueDatatype="20" unbalanced="0"/>
    <cacheHierarchy uniqueName="[logistics].[Delivery_status]" caption="Delivery_status" attribute="1" defaultMemberUniqueName="[logistics].[Delivery_status].[All]" allUniqueName="[logistics].[Delivery_status].[All]" dimensionUniqueName="[logistics]" displayFolder="" count="0" memberValueDatatype="130" unbalanced="0"/>
    <cacheHierarchy uniqueName="[logistics].[Destination_Zone]" caption="Destination_Zone" attribute="1" defaultMemberUniqueName="[logistics].[Destination_Zone].[All]" allUniqueName="[logistics].[Destination_Zone].[All]" dimensionUniqueName="[logistics]" displayFolder="" count="0" memberValueDatatype="130" unbalanced="0"/>
    <cacheHierarchy uniqueName="[logistics].[Customer_Type]" caption="Customer_Type" attribute="1" defaultMemberUniqueName="[logistics].[Customer_Type].[All]" allUniqueName="[logistics].[Customer_Type].[All]" dimensionUniqueName="[logistics]" displayFolder="" count="0" memberValueDatatype="130" unbalanced="0"/>
    <cacheHierarchy uniqueName="[logistics 1].[OrderID]" caption="OrderID" attribute="1" defaultMemberUniqueName="[logistics 1].[OrderID].[All]" allUniqueName="[logistics 1].[OrderID].[All]" dimensionUniqueName="[logistics 1]" displayFolder="" count="2" memberValueDatatype="130" unbalanced="0"/>
    <cacheHierarchy uniqueName="[logistics 1].[Carrier]" caption="Carrier" attribute="1" defaultMemberUniqueName="[logistics 1].[Carrier].[All]" allUniqueName="[logistics 1].[Carrier].[All]" dimensionUniqueName="[logistics 1]" displayFolder="" count="0" memberValueDatatype="130" unbalanced="0"/>
    <cacheHierarchy uniqueName="[logistics 1].[Order_Date]" caption="Order_Date" attribute="1" time="1" defaultMemberUniqueName="[logistics 1].[Order_Date].[All]" allUniqueName="[logistics 1].[Order_Date].[All]" dimensionUniqueName="[logistics 1]" displayFolder="" count="0" memberValueDatatype="7" unbalanced="0"/>
    <cacheHierarchy uniqueName="[logistics 1].[Promised_Delivery_Days]" caption="Promised_Delivery_Days" attribute="1" defaultMemberUniqueName="[logistics 1].[Promised_Delivery_Days].[All]" allUniqueName="[logistics 1].[Promised_Delivery_Days].[All]" dimensionUniqueName="[logistics 1]" displayFolder="" count="0" memberValueDatatype="20" unbalanced="0"/>
    <cacheHierarchy uniqueName="[logistics 1].[Actual_Delivery_Date]" caption="Actual_Delivery_Date" attribute="1" time="1" defaultMemberUniqueName="[logistics 1].[Actual_Delivery_Date].[All]" allUniqueName="[logistics 1].[Actual_Delivery_Date].[All]" dimensionUniqueName="[logistics 1]" displayFolder="" count="0" memberValueDatatype="7" unbalanced="0"/>
    <cacheHierarchy uniqueName="[logistics 1].[Shipping_Cost]" caption="Shipping_Cost" attribute="1" defaultMemberUniqueName="[logistics 1].[Shipping_Cost].[All]" allUniqueName="[logistics 1].[Shipping_Cost].[All]" dimensionUniqueName="[logistics 1]" displayFolder="" count="0" memberValueDatatype="20" unbalanced="0"/>
    <cacheHierarchy uniqueName="[logistics 1].[Actual_transit_days]" caption="Actual_transit_days" attribute="1" defaultMemberUniqueName="[logistics 1].[Actual_transit_days].[All]" allUniqueName="[logistics 1].[Actual_transit_days].[All]" dimensionUniqueName="[logistics 1]" displayFolder="" count="2" memberValueDatatype="20" unbalanced="0"/>
    <cacheHierarchy uniqueName="[logistics 1].[Delivery_status]" caption="Delivery_status" attribute="1" defaultMemberUniqueName="[logistics 1].[Delivery_status].[All]" allUniqueName="[logistics 1].[Delivery_status].[All]" dimensionUniqueName="[logistics 1]" displayFolder="" count="0" memberValueDatatype="130" unbalanced="0"/>
    <cacheHierarchy uniqueName="[logistics 1].[Destination_Zone]" caption="Destination_Zone" attribute="1" defaultMemberUniqueName="[logistics 1].[Destination_Zone].[All]" allUniqueName="[logistics 1].[Destination_Zone].[All]" dimensionUniqueName="[logistics 1]" displayFolder="" count="0" memberValueDatatype="130" unbalanced="0"/>
    <cacheHierarchy uniqueName="[logistics 1].[Customer_Type]" caption="Customer_Type" attribute="1" defaultMemberUniqueName="[logistics 1].[Customer_Type].[All]" allUniqueName="[logistics 1].[Customer_Type].[All]" dimensionUniqueName="[logistics 1]" displayFolder="" count="0" memberValueDatatype="130" unbalanced="0"/>
    <cacheHierarchy uniqueName="[orders].[OrderID]" caption="OrderID" attribute="1" defaultMemberUniqueName="[orders].[OrderID].[All]" allUniqueName="[orders].[OrderID].[All]" dimensionUniqueName="[orders]" displayFolder="" count="0" memberValueDatatype="130" unbalanced="0"/>
    <cacheHierarchy uniqueName="[orders].[Product_Category]" caption="Product_Category" attribute="1" defaultMemberUniqueName="[orders].[Product_Category].[All]" allUniqueName="[orders].[Product_Category].[All]" dimensionUniqueName="[orders]" displayFolder="" count="0" memberValueDatatype="130" unbalanced="0"/>
    <cacheHierarchy uniqueName="[orders].[Destination_Zone]" caption="Destination_Zone" attribute="1" defaultMemberUniqueName="[orders].[Destination_Zone].[All]" allUniqueName="[orders].[Destination_Zone].[All]" dimensionUniqueName="[orders]" displayFolder="" count="0" memberValueDatatype="130" unbalanced="0"/>
    <cacheHierarchy uniqueName="[orders].[Customer_Type]" caption="Customer_Type" attribute="1" defaultMemberUniqueName="[orders].[Customer_Type].[All]" allUniqueName="[orders].[Customer_Type].[All]" dimensionUniqueName="[orders]" displayFolder="" count="0" memberValueDatatype="130" unbalanced="0"/>
    <cacheHierarchy uniqueName="[orders 1].[OrderID]" caption="OrderID" attribute="1" defaultMemberUniqueName="[orders 1].[OrderID].[All]" allUniqueName="[orders 1].[OrderID].[All]" dimensionUniqueName="[orders 1]" displayFolder="" count="0" memberValueDatatype="130" unbalanced="0"/>
    <cacheHierarchy uniqueName="[orders 1].[Product_Category]" caption="Product_Category" attribute="1" defaultMemberUniqueName="[orders 1].[Product_Category].[All]" allUniqueName="[orders 1].[Product_Category].[All]" dimensionUniqueName="[orders 1]" displayFolder="" count="0" memberValueDatatype="130" unbalanced="0"/>
    <cacheHierarchy uniqueName="[orders 1].[Destination_Zone]" caption="Destination_Zone" attribute="1" defaultMemberUniqueName="[orders 1].[Destination_Zone].[All]" allUniqueName="[orders 1].[Destination_Zone].[All]" dimensionUniqueName="[orders 1]" displayFolder="" count="0" memberValueDatatype="130" unbalanced="0"/>
    <cacheHierarchy uniqueName="[orders 1].[Customer_Type]" caption="Customer_Type" attribute="1" defaultMemberUniqueName="[orders 1].[Customer_Type].[All]" allUniqueName="[orders 1].[Customer_Type].[All]" dimensionUniqueName="[orders 1]" displayFolder="" count="0" memberValueDatatype="130" unbalanced="0"/>
    <cacheHierarchy uniqueName="[Measures].[__XL_Count orders]" caption="__XL_Count orders" measure="1" displayFolder="" measureGroup="orders" count="0" hidden="1"/>
    <cacheHierarchy uniqueName="[Measures].[__XL_Count logistics]" caption="__XL_Count logistics" measure="1" displayFolder="" measureGroup="logistics" count="0" hidden="1"/>
    <cacheHierarchy uniqueName="[Measures].[__XL_Count logistics 1]" caption="__XL_Count logistics 1" measure="1" displayFolder="" measureGroup="logistic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Count of Delivery_status]" caption="Count of Delivery_status" measure="1" displayFolder="" measureGroup="logistics 1" count="0" hidden="1">
      <extLst>
        <ext xmlns:x15="http://schemas.microsoft.com/office/spreadsheetml/2010/11/main" uri="{B97F6D7D-B522-45F9-BDA1-12C45D357490}">
          <x15:cacheHierarchy aggregatedColumn="17"/>
        </ext>
      </extLst>
    </cacheHierarchy>
    <cacheHierarchy uniqueName="[Measures].[Count of OrderID]" caption="Count of OrderID" measure="1" displayFolder="" measureGroup="logistics 1" count="0" hidden="1">
      <extLst>
        <ext xmlns:x15="http://schemas.microsoft.com/office/spreadsheetml/2010/11/main" uri="{B97F6D7D-B522-45F9-BDA1-12C45D357490}">
          <x15:cacheHierarchy aggregatedColumn="10"/>
        </ext>
      </extLst>
    </cacheHierarchy>
    <cacheHierarchy uniqueName="[Measures].[Sum of Shipping_Cost]" caption="Sum of Shipping_Cost" measure="1" displayFolder="" measureGroup="logistics 1" count="0" hidden="1">
      <extLst>
        <ext xmlns:x15="http://schemas.microsoft.com/office/spreadsheetml/2010/11/main" uri="{B97F6D7D-B522-45F9-BDA1-12C45D357490}">
          <x15:cacheHierarchy aggregatedColumn="15"/>
        </ext>
      </extLst>
    </cacheHierarchy>
    <cacheHierarchy uniqueName="[Measures].[Sum of Actual_transit_days]" caption="Sum of Actual_transit_days" measure="1" displayFolder="" measureGroup="logistics 1" count="0" hidden="1">
      <extLst>
        <ext xmlns:x15="http://schemas.microsoft.com/office/spreadsheetml/2010/11/main" uri="{B97F6D7D-B522-45F9-BDA1-12C45D357490}">
          <x15:cacheHierarchy aggregatedColumn="16"/>
        </ext>
      </extLst>
    </cacheHierarchy>
    <cacheHierarchy uniqueName="[Measures].[Average of Actual_transit_days]" caption="Average of Actual_transit_days" measure="1" displayFolder="" measureGroup="logistics 1"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758219443"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sidd" refreshedDate="46189.979904050924" backgroundQuery="1" createdVersion="3" refreshedVersion="8" minRefreshableVersion="3" recordCount="0" supportSubquery="1" supportAdvancedDrill="1" xr:uid="{11973CD9-A499-487F-B261-4296F5025E31}">
  <cacheSource type="external" connectionId="9">
    <extLst>
      <ext xmlns:x14="http://schemas.microsoft.com/office/spreadsheetml/2009/9/main" uri="{F057638F-6D5F-4e77-A914-E7F072B9BCA8}">
        <x14:sourceConnection name="ThisWorkbookDataModel"/>
      </ext>
    </extLst>
  </cacheSource>
  <cacheFields count="0"/>
  <cacheHierarchies count="38">
    <cacheHierarchy uniqueName="[logistics].[OrderID]" caption="OrderID" attribute="1" defaultMemberUniqueName="[logistics].[OrderID].[All]" allUniqueName="[logistics].[OrderID].[All]" dimensionUniqueName="[logistics]" displayFolder="" count="0" memberValueDatatype="130" unbalanced="0"/>
    <cacheHierarchy uniqueName="[logistics].[Carrier]" caption="Carrier" attribute="1" defaultMemberUniqueName="[logistics].[Carrier].[All]" allUniqueName="[logistics].[Carrier].[All]" dimensionUniqueName="[logistics]" displayFolder="" count="0" memberValueDatatype="130" unbalanced="0"/>
    <cacheHierarchy uniqueName="[logistics].[Order_Date]" caption="Order_Date" attribute="1" time="1" defaultMemberUniqueName="[logistics].[Order_Date].[All]" allUniqueName="[logistics].[Order_Date].[All]" dimensionUniqueName="[logistics]" displayFolder="" count="0" memberValueDatatype="7" unbalanced="0"/>
    <cacheHierarchy uniqueName="[logistics].[Promised_Delivery_Days]" caption="Promised_Delivery_Days" attribute="1" defaultMemberUniqueName="[logistics].[Promised_Delivery_Days].[All]" allUniqueName="[logistics].[Promised_Delivery_Days].[All]" dimensionUniqueName="[logistics]" displayFolder="" count="0" memberValueDatatype="20" unbalanced="0"/>
    <cacheHierarchy uniqueName="[logistics].[Actual_Delivery_Date]" caption="Actual_Delivery_Date" attribute="1" time="1" defaultMemberUniqueName="[logistics].[Actual_Delivery_Date].[All]" allUniqueName="[logistics].[Actual_Delivery_Date].[All]" dimensionUniqueName="[logistics]" displayFolder="" count="0" memberValueDatatype="7" unbalanced="0"/>
    <cacheHierarchy uniqueName="[logistics].[Shipping_Cost]" caption="Shipping_Cost" attribute="1" defaultMemberUniqueName="[logistics].[Shipping_Cost].[All]" allUniqueName="[logistics].[Shipping_Cost].[All]" dimensionUniqueName="[logistics]" displayFolder="" count="0" memberValueDatatype="5" unbalanced="0"/>
    <cacheHierarchy uniqueName="[logistics].[Actual_transit_days]" caption="Actual_transit_days" attribute="1" defaultMemberUniqueName="[logistics].[Actual_transit_days].[All]" allUniqueName="[logistics].[Actual_transit_days].[All]" dimensionUniqueName="[logistics]" displayFolder="" count="0" memberValueDatatype="20" unbalanced="0"/>
    <cacheHierarchy uniqueName="[logistics].[Delivery_status]" caption="Delivery_status" attribute="1" defaultMemberUniqueName="[logistics].[Delivery_status].[All]" allUniqueName="[logistics].[Delivery_status].[All]" dimensionUniqueName="[logistics]" displayFolder="" count="0" memberValueDatatype="130" unbalanced="0"/>
    <cacheHierarchy uniqueName="[logistics].[Destination_Zone]" caption="Destination_Zone" attribute="1" defaultMemberUniqueName="[logistics].[Destination_Zone].[All]" allUniqueName="[logistics].[Destination_Zone].[All]" dimensionUniqueName="[logistics]" displayFolder="" count="0" memberValueDatatype="130" unbalanced="0"/>
    <cacheHierarchy uniqueName="[logistics].[Customer_Type]" caption="Customer_Type" attribute="1" defaultMemberUniqueName="[logistics].[Customer_Type].[All]" allUniqueName="[logistics].[Customer_Type].[All]" dimensionUniqueName="[logistics]" displayFolder="" count="0" memberValueDatatype="130" unbalanced="0"/>
    <cacheHierarchy uniqueName="[logistics 1].[OrderID]" caption="OrderID" attribute="1" defaultMemberUniqueName="[logistics 1].[OrderID].[All]" allUniqueName="[logistics 1].[OrderID].[All]" dimensionUniqueName="[logistics 1]" displayFolder="" count="0" memberValueDatatype="130" unbalanced="0"/>
    <cacheHierarchy uniqueName="[logistics 1].[Carrier]" caption="Carrier" attribute="1" defaultMemberUniqueName="[logistics 1].[Carrier].[All]" allUniqueName="[logistics 1].[Carrier].[All]" dimensionUniqueName="[logistics 1]" displayFolder="" count="0" memberValueDatatype="130" unbalanced="0"/>
    <cacheHierarchy uniqueName="[logistics 1].[Order_Date]" caption="Order_Date" attribute="1" time="1" defaultMemberUniqueName="[logistics 1].[Order_Date].[All]" allUniqueName="[logistics 1].[Order_Date].[All]" dimensionUniqueName="[logistics 1]" displayFolder="" count="2" memberValueDatatype="7" unbalanced="0"/>
    <cacheHierarchy uniqueName="[logistics 1].[Promised_Delivery_Days]" caption="Promised_Delivery_Days" attribute="1" defaultMemberUniqueName="[logistics 1].[Promised_Delivery_Days].[All]" allUniqueName="[logistics 1].[Promised_Delivery_Days].[All]" dimensionUniqueName="[logistics 1]" displayFolder="" count="0" memberValueDatatype="20" unbalanced="0"/>
    <cacheHierarchy uniqueName="[logistics 1].[Actual_Delivery_Date]" caption="Actual_Delivery_Date" attribute="1" time="1" defaultMemberUniqueName="[logistics 1].[Actual_Delivery_Date].[All]" allUniqueName="[logistics 1].[Actual_Delivery_Date].[All]" dimensionUniqueName="[logistics 1]" displayFolder="" count="2" memberValueDatatype="7" unbalanced="0"/>
    <cacheHierarchy uniqueName="[logistics 1].[Shipping_Cost]" caption="Shipping_Cost" attribute="1" defaultMemberUniqueName="[logistics 1].[Shipping_Cost].[All]" allUniqueName="[logistics 1].[Shipping_Cost].[All]" dimensionUniqueName="[logistics 1]" displayFolder="" count="0" memberValueDatatype="20" unbalanced="0"/>
    <cacheHierarchy uniqueName="[logistics 1].[Actual_transit_days]" caption="Actual_transit_days" attribute="1" defaultMemberUniqueName="[logistics 1].[Actual_transit_days].[All]" allUniqueName="[logistics 1].[Actual_transit_days].[All]" dimensionUniqueName="[logistics 1]" displayFolder="" count="0" memberValueDatatype="20" unbalanced="0"/>
    <cacheHierarchy uniqueName="[logistics 1].[Delivery_status]" caption="Delivery_status" attribute="1" defaultMemberUniqueName="[logistics 1].[Delivery_status].[All]" allUniqueName="[logistics 1].[Delivery_status].[All]" dimensionUniqueName="[logistics 1]" displayFolder="" count="0" memberValueDatatype="130" unbalanced="0"/>
    <cacheHierarchy uniqueName="[logistics 1].[Destination_Zone]" caption="Destination_Zone" attribute="1" defaultMemberUniqueName="[logistics 1].[Destination_Zone].[All]" allUniqueName="[logistics 1].[Destination_Zone].[All]" dimensionUniqueName="[logistics 1]" displayFolder="" count="0" memberValueDatatype="130" unbalanced="0"/>
    <cacheHierarchy uniqueName="[logistics 1].[Customer_Type]" caption="Customer_Type" attribute="1" defaultMemberUniqueName="[logistics 1].[Customer_Type].[All]" allUniqueName="[logistics 1].[Customer_Type].[All]" dimensionUniqueName="[logistics 1]" displayFolder="" count="0" memberValueDatatype="130" unbalanced="0"/>
    <cacheHierarchy uniqueName="[orders].[OrderID]" caption="OrderID" attribute="1" defaultMemberUniqueName="[orders].[OrderID].[All]" allUniqueName="[orders].[OrderID].[All]" dimensionUniqueName="[orders]" displayFolder="" count="0" memberValueDatatype="130" unbalanced="0"/>
    <cacheHierarchy uniqueName="[orders].[Product_Category]" caption="Product_Category" attribute="1" defaultMemberUniqueName="[orders].[Product_Category].[All]" allUniqueName="[orders].[Product_Category].[All]" dimensionUniqueName="[orders]" displayFolder="" count="0" memberValueDatatype="130" unbalanced="0"/>
    <cacheHierarchy uniqueName="[orders].[Destination_Zone]" caption="Destination_Zone" attribute="1" defaultMemberUniqueName="[orders].[Destination_Zone].[All]" allUniqueName="[orders].[Destination_Zone].[All]" dimensionUniqueName="[orders]" displayFolder="" count="0" memberValueDatatype="130" unbalanced="0"/>
    <cacheHierarchy uniqueName="[orders].[Customer_Type]" caption="Customer_Type" attribute="1" defaultMemberUniqueName="[orders].[Customer_Type].[All]" allUniqueName="[orders].[Customer_Type].[All]" dimensionUniqueName="[orders]" displayFolder="" count="0" memberValueDatatype="130" unbalanced="0"/>
    <cacheHierarchy uniqueName="[orders 1].[OrderID]" caption="OrderID" attribute="1" defaultMemberUniqueName="[orders 1].[OrderID].[All]" allUniqueName="[orders 1].[OrderID].[All]" dimensionUniqueName="[orders 1]" displayFolder="" count="0" memberValueDatatype="130" unbalanced="0"/>
    <cacheHierarchy uniqueName="[orders 1].[Product_Category]" caption="Product_Category" attribute="1" defaultMemberUniqueName="[orders 1].[Product_Category].[All]" allUniqueName="[orders 1].[Product_Category].[All]" dimensionUniqueName="[orders 1]" displayFolder="" count="0" memberValueDatatype="130" unbalanced="0"/>
    <cacheHierarchy uniqueName="[orders 1].[Destination_Zone]" caption="Destination_Zone" attribute="1" defaultMemberUniqueName="[orders 1].[Destination_Zone].[All]" allUniqueName="[orders 1].[Destination_Zone].[All]" dimensionUniqueName="[orders 1]" displayFolder="" count="0" memberValueDatatype="130" unbalanced="0"/>
    <cacheHierarchy uniqueName="[orders 1].[Customer_Type]" caption="Customer_Type" attribute="1" defaultMemberUniqueName="[orders 1].[Customer_Type].[All]" allUniqueName="[orders 1].[Customer_Type].[All]" dimensionUniqueName="[orders 1]" displayFolder="" count="0" memberValueDatatype="130" unbalanced="0"/>
    <cacheHierarchy uniqueName="[Measures].[__XL_Count orders]" caption="__XL_Count orders" measure="1" displayFolder="" measureGroup="orders" count="0" hidden="1"/>
    <cacheHierarchy uniqueName="[Measures].[__XL_Count logistics]" caption="__XL_Count logistics" measure="1" displayFolder="" measureGroup="logistics" count="0" hidden="1"/>
    <cacheHierarchy uniqueName="[Measures].[__XL_Count logistics 1]" caption="__XL_Count logistics 1" measure="1" displayFolder="" measureGroup="logistic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Count of Delivery_status]" caption="Count of Delivery_status" measure="1" displayFolder="" measureGroup="logistics 1" count="0" hidden="1">
      <extLst>
        <ext xmlns:x15="http://schemas.microsoft.com/office/spreadsheetml/2010/11/main" uri="{B97F6D7D-B522-45F9-BDA1-12C45D357490}">
          <x15:cacheHierarchy aggregatedColumn="17"/>
        </ext>
      </extLst>
    </cacheHierarchy>
    <cacheHierarchy uniqueName="[Measures].[Count of OrderID]" caption="Count of OrderID" measure="1" displayFolder="" measureGroup="logistics 1" count="0" hidden="1">
      <extLst>
        <ext xmlns:x15="http://schemas.microsoft.com/office/spreadsheetml/2010/11/main" uri="{B97F6D7D-B522-45F9-BDA1-12C45D357490}">
          <x15:cacheHierarchy aggregatedColumn="10"/>
        </ext>
      </extLst>
    </cacheHierarchy>
    <cacheHierarchy uniqueName="[Measures].[Sum of Shipping_Cost]" caption="Sum of Shipping_Cost" measure="1" displayFolder="" measureGroup="logistics 1" count="0" hidden="1">
      <extLst>
        <ext xmlns:x15="http://schemas.microsoft.com/office/spreadsheetml/2010/11/main" uri="{B97F6D7D-B522-45F9-BDA1-12C45D357490}">
          <x15:cacheHierarchy aggregatedColumn="15"/>
        </ext>
      </extLst>
    </cacheHierarchy>
    <cacheHierarchy uniqueName="[Measures].[Sum of Actual_transit_days]" caption="Sum of Actual_transit_days" measure="1" displayFolder="" measureGroup="logistics 1" count="0" hidden="1">
      <extLst>
        <ext xmlns:x15="http://schemas.microsoft.com/office/spreadsheetml/2010/11/main" uri="{B97F6D7D-B522-45F9-BDA1-12C45D357490}">
          <x15:cacheHierarchy aggregatedColumn="16"/>
        </ext>
      </extLst>
    </cacheHierarchy>
    <cacheHierarchy uniqueName="[Measures].[Average of Actual_transit_days]" caption="Average of Actual_transit_days" measure="1" displayFolder="" measureGroup="logistics 1"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pivotCacheId="29328434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F94AC2-74D6-49CB-8FC3-E4BB4C58E69A}" name="PivotTable1" cacheId="0" applyNumberFormats="0" applyBorderFormats="0" applyFontFormats="0" applyPatternFormats="0" applyAlignmentFormats="0" applyWidthHeightFormats="1" dataCaption="Values" tag="f9b09a40-c864-4144-bf34-6cb105ba7346" updatedVersion="8" minRefreshableVersion="5" showDrill="0" useAutoFormatting="1" itemPrintTitles="1" createdVersion="8" indent="0" outline="1" outlineData="1" multipleFieldFilters="0" chartFormat="10">
  <location ref="A3:B6"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OrderID2" fld="1" subtotal="count" showDataAs="percentOfTotal" baseField="0" baseItem="0" numFmtId="1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 1].[Product_Category].&amp;[Home Decor]"/>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logistics">
        <x15:activeTabTopLevelEntity name="[logistic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09460F-AF41-486C-B355-63CD5D5BC46F}" name="PivotTable5" cacheId="3" applyNumberFormats="0" applyBorderFormats="0" applyFontFormats="0" applyPatternFormats="0" applyAlignmentFormats="0" applyWidthHeightFormats="1" dataCaption="Values" tag="538e3489-5713-432f-a456-f69c093bef7a" updatedVersion="8" minRefreshableVersion="5" useAutoFormatting="1" colGrandTotals="0" itemPrintTitles="1" createdVersion="8" indent="0" outline="1" outlineData="1" multipleFieldFilters="0">
  <location ref="A45:A46" firstHeaderRow="1" firstDataRow="1" firstDataCol="0"/>
  <pivotFields count="4">
    <pivotField allDrilled="1" subtotalTop="0" showAll="0" sortType="ascending"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rder Cycle Time" fld="1" subtotal="average" baseField="0" baseItem="0" numFmtId="165"/>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 1].[Product_Category].&amp;[Home Decor]"/>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hipping_Cost"/>
    <pivotHierarchy dragToData="1"/>
    <pivotHierarchy dragToData="1" caption="Average Order Cycle Tim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logistics">
        <x15:activeTabTopLevelEntity name="[logistic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3A6601-2BB3-4C1B-B120-E33E75C7C3DF}" name="PivotTable4" cacheId="2" applyNumberFormats="0" applyBorderFormats="0" applyFontFormats="0" applyPatternFormats="0" applyAlignmentFormats="0" applyWidthHeightFormats="1" dataCaption="Values" tag="2406ee96-d9eb-4d32-9090-681f9e11f605" updatedVersion="8" minRefreshableVersion="5" useAutoFormatting="1" colGrandTotals="0" itemPrintTitles="1" createdVersion="8" indent="0" outline="1" outlineData="1" multipleFieldFilters="0" chartFormat="5">
  <location ref="A36:B41" firstHeaderRow="1" firstDataRow="2" firstDataCol="1"/>
  <pivotFields count="5">
    <pivotField axis="axisCol" allDrilled="1" subtotalTop="0" showAll="0" sortType="ascending" defaultSubtotal="0" defaultAttributeDrillState="1">
      <items count="1">
        <item s="1" x="0"/>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Fields count="1">
    <field x="0"/>
  </colFields>
  <colItems count="1">
    <i>
      <x/>
    </i>
  </colItems>
  <dataFields count="1">
    <dataField name="Count of OrderID" fld="2" subtotal="count" baseField="0" baseItem="0"/>
  </dataFields>
  <chartFormats count="4">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 chart="4" format="7">
      <pivotArea type="data" outline="0" fieldPosition="0">
        <references count="2">
          <reference field="4294967294" count="1" selected="0">
            <x v="0"/>
          </reference>
          <reference field="1" count="1" selected="0">
            <x v="2"/>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 1].[Product_Category].&amp;[Home Decor]"/>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hipping_Cost"/>
    <pivotHierarchy dragToData="1"/>
    <pivotHierarchy dragToData="1" caption="Average Delivery Days"/>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logistics">
        <x15:activeTabTopLevelEntity name="[logistic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02F9E5-D893-45C5-91CD-6A13AEF570FB}" name="PivotTable3" cacheId="1" applyNumberFormats="0" applyBorderFormats="0" applyFontFormats="0" applyPatternFormats="0" applyAlignmentFormats="0" applyWidthHeightFormats="1" dataCaption="Values" tag="83b0d2e9-9807-418a-951a-4c09772bba98" updatedVersion="8" minRefreshableVersion="5" useAutoFormatting="1" colGrandTotals="0" itemPrintTitles="1" createdVersion="8" indent="0" outline="1" outlineData="1" multipleFieldFilters="0" chartFormat="19">
  <location ref="A27:C32" firstHeaderRow="0" firstDataRow="1" firstDataCol="1"/>
  <pivotFields count="6">
    <pivotField axis="axisRow" allDrilled="1" subtotalTop="0" showAll="0" dataSourceSort="1" defaultSubtotal="0" defaultAttributeDrillState="1">
      <items count="4">
        <item x="0"/>
        <item x="1"/>
        <item x="2"/>
        <item x="3"/>
      </items>
    </pivotField>
    <pivotField allDrilled="1" subtotalTop="0" showAll="0" sortType="ascending"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Shipping_Cost" fld="2" baseField="0" baseItem="0"/>
    <dataField name="Average Delivery Days" fld="3" subtotal="average" baseField="0" baseItem="0" numFmtId="165"/>
  </dataFields>
  <chartFormats count="5">
    <chartFormat chart="14" format="9" series="1">
      <pivotArea type="data" outline="0" fieldPosition="0">
        <references count="1">
          <reference field="4294967294" count="1" selected="0">
            <x v="0"/>
          </reference>
        </references>
      </pivotArea>
    </chartFormat>
    <chartFormat chart="14" format="10" series="1">
      <pivotArea type="data" outline="0" fieldPosition="0">
        <references count="1">
          <reference field="4294967294" count="1" selected="0">
            <x v="1"/>
          </reference>
        </references>
      </pivotArea>
    </chartFormat>
    <chartFormat chart="14" format="11">
      <pivotArea type="data" outline="0" fieldPosition="0">
        <references count="2">
          <reference field="4294967294" count="1" selected="0">
            <x v="1"/>
          </reference>
          <reference field="0" count="1" selected="0">
            <x v="1"/>
          </reference>
        </references>
      </pivotArea>
    </chartFormat>
    <chartFormat chart="14" format="12">
      <pivotArea type="data" outline="0" fieldPosition="0">
        <references count="2">
          <reference field="4294967294" count="1" selected="0">
            <x v="1"/>
          </reference>
          <reference field="0" count="1" selected="0">
            <x v="2"/>
          </reference>
        </references>
      </pivotArea>
    </chartFormat>
    <chartFormat chart="14" format="13">
      <pivotArea type="data" outline="0" fieldPosition="0">
        <references count="2">
          <reference field="4294967294" count="1" selected="0">
            <x v="1"/>
          </reference>
          <reference field="0" count="1" selected="0">
            <x v="3"/>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 1].[Product_Category].&amp;[Home Decor]"/>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hipping_Cost"/>
    <pivotHierarchy dragToData="1"/>
    <pivotHierarchy dragToData="1" caption="Average Delivery Days"/>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logistics">
        <x15:activeTabTopLevelEntity name="[logistic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9822F8-D512-4520-8897-CD459750C6C4}" name="PivotTable2" cacheId="4" applyNumberFormats="0" applyBorderFormats="0" applyFontFormats="0" applyPatternFormats="0" applyAlignmentFormats="0" applyWidthHeightFormats="1" dataCaption="Values" tag="8db5702d-f601-4c36-8f3b-0b4312a9a16c" updatedVersion="8" minRefreshableVersion="5" useAutoFormatting="1" colGrandTotals="0" itemPrintTitles="1" createdVersion="8" indent="0" outline="1" outlineData="1" multipleFieldFilters="0" chartFormat="10">
  <location ref="A16:C22" firstHeaderRow="1" firstDataRow="3" firstDataCol="1"/>
  <pivotFields count="5">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s="1"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4">
    <i>
      <x/>
    </i>
    <i>
      <x v="1"/>
    </i>
    <i>
      <x v="2"/>
    </i>
    <i t="grand">
      <x/>
    </i>
  </rowItems>
  <colFields count="2">
    <field x="1"/>
    <field x="-2"/>
  </colFields>
  <colItems count="2">
    <i>
      <x/>
      <x/>
    </i>
    <i r="1" i="1">
      <x v="1"/>
    </i>
  </colItems>
  <dataFields count="2">
    <dataField name="Count of OrderID" fld="2" subtotal="count" baseField="0" baseItem="0"/>
    <dataField name="Count of OrderID2" fld="4" subtotal="count" showDataAs="percentOfTotal" baseField="0" baseItem="0" numFmtId="10">
      <extLst>
        <ext xmlns:x14="http://schemas.microsoft.com/office/spreadsheetml/2009/9/main" uri="{E15A36E0-9728-4e99-A89B-3F7291B0FE68}">
          <x14:dataField sourceField="2" uniqueName="[__Xl2].[Measures].[Count of OrderID]"/>
        </ext>
      </extLst>
    </dataField>
  </dataFields>
  <chartFormats count="4">
    <chartFormat chart="8" format="3" series="1">
      <pivotArea type="data" outline="0" fieldPosition="0">
        <references count="2">
          <reference field="4294967294" count="1" selected="0">
            <x v="0"/>
          </reference>
          <reference field="1" count="1" selected="0">
            <x v="0"/>
          </reference>
        </references>
      </pivotArea>
    </chartFormat>
    <chartFormat chart="8" format="4" series="1">
      <pivotArea type="data" outline="0" fieldPosition="0">
        <references count="2">
          <reference field="4294967294" count="1" selected="0">
            <x v="1"/>
          </reference>
          <reference field="1" count="1" selected="0">
            <x v="0"/>
          </reference>
        </references>
      </pivotArea>
    </chartFormat>
    <chartFormat chart="8" format="5" series="1">
      <pivotArea type="data" outline="0" fieldPosition="0">
        <references count="2">
          <reference field="4294967294" count="1" selected="0">
            <x v="0"/>
          </reference>
          <reference field="1" count="1" selected="0">
            <x v="1"/>
          </reference>
        </references>
      </pivotArea>
    </chartFormat>
    <chartFormat chart="8" format="6" series="1">
      <pivotArea type="data" outline="0" fieldPosition="0">
        <references count="2">
          <reference field="4294967294" count="1" selected="0">
            <x v="1"/>
          </reference>
          <reference field="1" count="1" selected="0">
            <x v="1"/>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 1].[Product_Category].&amp;[Home Decor]"/>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1"/>
  </rowHierarchiesUsage>
  <colHierarchiesUsage count="2">
    <colHierarchyUsage hierarchyUsage="17"/>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logistics">
        <x15:activeTabTopLevelEntity name="[logistics 1]"/>
        <x15:activeTabTopLevelEntity name="[orders 1].[Product_Category]"/>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5354EBF-37B8-4268-B212-F9DB8964E724}" autoFormatId="16" applyNumberFormats="0" applyBorderFormats="0" applyFontFormats="0" applyPatternFormats="0" applyAlignmentFormats="0" applyWidthHeightFormats="0">
  <queryTableRefresh nextId="5">
    <queryTableFields count="4">
      <queryTableField id="1" name="OrderID" tableColumnId="1"/>
      <queryTableField id="2" name="Product_Category" tableColumnId="2"/>
      <queryTableField id="3" name="Destination_Zone" tableColumnId="3"/>
      <queryTableField id="4" name="Customer_Type" tableColumnId="4"/>
    </queryTableFields>
  </queryTableRefresh>
  <extLst>
    <ext xmlns:x15="http://schemas.microsoft.com/office/spreadsheetml/2010/11/main" uri="{883FBD77-0823-4a55-B5E3-86C4891E6966}">
      <x15:queryTable sourceDataName="Query - ord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C8B16122-60A2-4E44-B115-AB567AE3F212}" autoFormatId="16" applyNumberFormats="0" applyBorderFormats="0" applyFontFormats="0" applyPatternFormats="0" applyAlignmentFormats="0" applyWidthHeightFormats="0">
  <queryTableRefresh nextId="11">
    <queryTableFields count="10">
      <queryTableField id="1" name="OrderID" tableColumnId="1"/>
      <queryTableField id="2" name="Carrier" tableColumnId="2"/>
      <queryTableField id="3" name="Order_Date" tableColumnId="3"/>
      <queryTableField id="4" name="Promised_Delivery_Days" tableColumnId="4"/>
      <queryTableField id="5" name="Actual_Delivery_Date" tableColumnId="5"/>
      <queryTableField id="6" name="Shipping_Cost" tableColumnId="6"/>
      <queryTableField id="7" name="Actual_transit_days" tableColumnId="7"/>
      <queryTableField id="8" name="Delivery_status" tableColumnId="8"/>
      <queryTableField id="9" name="Destination_Zone" tableColumnId="9"/>
      <queryTableField id="10" name="Customer_Type" tableColumnId="10"/>
    </queryTableFields>
  </queryTableRefresh>
  <extLst>
    <ext xmlns:x15="http://schemas.microsoft.com/office/spreadsheetml/2010/11/main" uri="{883FBD77-0823-4a55-B5E3-86C4891E6966}">
      <x15:queryTable sourceDataName="Query - logistic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ID" xr10:uid="{61F4AC10-6008-435B-A81B-8C666668D649}" sourceName="[logistics 1].[OrderID]">
  <pivotTables>
    <pivotTable tabId="4" name="PivotTable1"/>
    <pivotTable tabId="4" name="PivotTable2"/>
    <pivotTable tabId="4" name="PivotTable3"/>
    <pivotTable tabId="4" name="PivotTable4"/>
    <pivotTable tabId="4" name="PivotTable5"/>
  </pivotTables>
  <data>
    <olap pivotCacheId="758219443">
      <levels count="2">
        <level uniqueName="[logistics 1].[OrderID].[(All)]" sourceCaption="(All)" count="0"/>
        <level uniqueName="[logistics 1].[OrderID].[OrderID]" sourceCaption="OrderID" count="100">
          <ranges>
            <range startItem="0">
              <i n="[logistics 1].[OrderID].&amp;[ORD-001]" c="ORD-001"/>
              <i n="[logistics 1].[OrderID].&amp;[ORD-002]" c="ORD-002"/>
              <i n="[logistics 1].[OrderID].&amp;[ORD-003]" c="ORD-003"/>
              <i n="[logistics 1].[OrderID].&amp;[ORD-004]" c="ORD-004"/>
              <i n="[logistics 1].[OrderID].&amp;[ORD-005]" c="ORD-005"/>
              <i n="[logistics 1].[OrderID].&amp;[ORD-006]" c="ORD-006"/>
              <i n="[logistics 1].[OrderID].&amp;[ORD-007]" c="ORD-007"/>
              <i n="[logistics 1].[OrderID].&amp;[ORD-008]" c="ORD-008"/>
              <i n="[logistics 1].[OrderID].&amp;[ORD-009]" c="ORD-009"/>
              <i n="[logistics 1].[OrderID].&amp;[ORD-010]" c="ORD-010"/>
              <i n="[logistics 1].[OrderID].&amp;[ORD-011]" c="ORD-011"/>
              <i n="[logistics 1].[OrderID].&amp;[ORD-012]" c="ORD-012"/>
              <i n="[logistics 1].[OrderID].&amp;[ORD-013]" c="ORD-013"/>
              <i n="[logistics 1].[OrderID].&amp;[ORD-014]" c="ORD-014"/>
              <i n="[logistics 1].[OrderID].&amp;[ORD-015]" c="ORD-015"/>
              <i n="[logistics 1].[OrderID].&amp;[ORD-016]" c="ORD-016"/>
              <i n="[logistics 1].[OrderID].&amp;[ORD-017]" c="ORD-017"/>
              <i n="[logistics 1].[OrderID].&amp;[ORD-018]" c="ORD-018"/>
              <i n="[logistics 1].[OrderID].&amp;[ORD-019]" c="ORD-019"/>
              <i n="[logistics 1].[OrderID].&amp;[ORD-020]" c="ORD-020"/>
              <i n="[logistics 1].[OrderID].&amp;[ORD-021]" c="ORD-021"/>
              <i n="[logistics 1].[OrderID].&amp;[ORD-022]" c="ORD-022"/>
              <i n="[logistics 1].[OrderID].&amp;[ORD-023]" c="ORD-023"/>
              <i n="[logistics 1].[OrderID].&amp;[ORD-024]" c="ORD-024"/>
              <i n="[logistics 1].[OrderID].&amp;[ORD-025]" c="ORD-025"/>
              <i n="[logistics 1].[OrderID].&amp;[ORD-026]" c="ORD-026"/>
              <i n="[logistics 1].[OrderID].&amp;[ORD-027]" c="ORD-027"/>
              <i n="[logistics 1].[OrderID].&amp;[ORD-028]" c="ORD-028"/>
              <i n="[logistics 1].[OrderID].&amp;[ORD-029]" c="ORD-029"/>
              <i n="[logistics 1].[OrderID].&amp;[ORD-030]" c="ORD-030"/>
              <i n="[logistics 1].[OrderID].&amp;[ORD-031]" c="ORD-031"/>
              <i n="[logistics 1].[OrderID].&amp;[ORD-032]" c="ORD-032"/>
              <i n="[logistics 1].[OrderID].&amp;[ORD-033]" c="ORD-033"/>
              <i n="[logistics 1].[OrderID].&amp;[ORD-034]" c="ORD-034"/>
              <i n="[logistics 1].[OrderID].&amp;[ORD-035]" c="ORD-035"/>
              <i n="[logistics 1].[OrderID].&amp;[ORD-036]" c="ORD-036"/>
              <i n="[logistics 1].[OrderID].&amp;[ORD-037]" c="ORD-037"/>
              <i n="[logistics 1].[OrderID].&amp;[ORD-038]" c="ORD-038"/>
              <i n="[logistics 1].[OrderID].&amp;[ORD-039]" c="ORD-039"/>
              <i n="[logistics 1].[OrderID].&amp;[ORD-040]" c="ORD-040"/>
              <i n="[logistics 1].[OrderID].&amp;[ORD-041]" c="ORD-041"/>
              <i n="[logistics 1].[OrderID].&amp;[ORD-042]" c="ORD-042"/>
              <i n="[logistics 1].[OrderID].&amp;[ORD-043]" c="ORD-043"/>
              <i n="[logistics 1].[OrderID].&amp;[ORD-044]" c="ORD-044"/>
              <i n="[logistics 1].[OrderID].&amp;[ORD-045]" c="ORD-045"/>
              <i n="[logistics 1].[OrderID].&amp;[ORD-046]" c="ORD-046"/>
              <i n="[logistics 1].[OrderID].&amp;[ORD-047]" c="ORD-047"/>
              <i n="[logistics 1].[OrderID].&amp;[ORD-048]" c="ORD-048"/>
              <i n="[logistics 1].[OrderID].&amp;[ORD-049]" c="ORD-049"/>
              <i n="[logistics 1].[OrderID].&amp;[ORD-050]" c="ORD-050"/>
              <i n="[logistics 1].[OrderID].&amp;[ORD-051]" c="ORD-051"/>
              <i n="[logistics 1].[OrderID].&amp;[ORD-052]" c="ORD-052"/>
              <i n="[logistics 1].[OrderID].&amp;[ORD-053]" c="ORD-053"/>
              <i n="[logistics 1].[OrderID].&amp;[ORD-054]" c="ORD-054"/>
              <i n="[logistics 1].[OrderID].&amp;[ORD-055]" c="ORD-055"/>
              <i n="[logistics 1].[OrderID].&amp;[ORD-056]" c="ORD-056"/>
              <i n="[logistics 1].[OrderID].&amp;[ORD-057]" c="ORD-057"/>
              <i n="[logistics 1].[OrderID].&amp;[ORD-058]" c="ORD-058"/>
              <i n="[logistics 1].[OrderID].&amp;[ORD-059]" c="ORD-059"/>
              <i n="[logistics 1].[OrderID].&amp;[ORD-060]" c="ORD-060"/>
              <i n="[logistics 1].[OrderID].&amp;[ORD-061]" c="ORD-061"/>
              <i n="[logistics 1].[OrderID].&amp;[ORD-062]" c="ORD-062"/>
              <i n="[logistics 1].[OrderID].&amp;[ORD-063]" c="ORD-063"/>
              <i n="[logistics 1].[OrderID].&amp;[ORD-064]" c="ORD-064"/>
              <i n="[logistics 1].[OrderID].&amp;[ORD-065]" c="ORD-065"/>
              <i n="[logistics 1].[OrderID].&amp;[ORD-066]" c="ORD-066"/>
              <i n="[logistics 1].[OrderID].&amp;[ORD-067]" c="ORD-067"/>
              <i n="[logistics 1].[OrderID].&amp;[ORD-068]" c="ORD-068"/>
              <i n="[logistics 1].[OrderID].&amp;[ORD-069]" c="ORD-069"/>
              <i n="[logistics 1].[OrderID].&amp;[ORD-070]" c="ORD-070"/>
              <i n="[logistics 1].[OrderID].&amp;[ORD-071]" c="ORD-071"/>
              <i n="[logistics 1].[OrderID].&amp;[ORD-072]" c="ORD-072"/>
              <i n="[logistics 1].[OrderID].&amp;[ORD-073]" c="ORD-073"/>
              <i n="[logistics 1].[OrderID].&amp;[ORD-074]" c="ORD-074"/>
              <i n="[logistics 1].[OrderID].&amp;[ORD-075]" c="ORD-075"/>
              <i n="[logistics 1].[OrderID].&amp;[ORD-076]" c="ORD-076"/>
              <i n="[logistics 1].[OrderID].&amp;[ORD-077]" c="ORD-077"/>
              <i n="[logistics 1].[OrderID].&amp;[ORD-078]" c="ORD-078"/>
              <i n="[logistics 1].[OrderID].&amp;[ORD-079]" c="ORD-079"/>
              <i n="[logistics 1].[OrderID].&amp;[ORD-080]" c="ORD-080"/>
              <i n="[logistics 1].[OrderID].&amp;[ORD-081]" c="ORD-081"/>
              <i n="[logistics 1].[OrderID].&amp;[ORD-082]" c="ORD-082"/>
              <i n="[logistics 1].[OrderID].&amp;[ORD-083]" c="ORD-083"/>
              <i n="[logistics 1].[OrderID].&amp;[ORD-084]" c="ORD-084"/>
              <i n="[logistics 1].[OrderID].&amp;[ORD-085]" c="ORD-085"/>
              <i n="[logistics 1].[OrderID].&amp;[ORD-086]" c="ORD-086"/>
              <i n="[logistics 1].[OrderID].&amp;[ORD-087]" c="ORD-087"/>
              <i n="[logistics 1].[OrderID].&amp;[ORD-088]" c="ORD-088"/>
              <i n="[logistics 1].[OrderID].&amp;[ORD-089]" c="ORD-089"/>
              <i n="[logistics 1].[OrderID].&amp;[ORD-090]" c="ORD-090"/>
              <i n="[logistics 1].[OrderID].&amp;[ORD-091]" c="ORD-091"/>
              <i n="[logistics 1].[OrderID].&amp;[ORD-092]" c="ORD-092"/>
              <i n="[logistics 1].[OrderID].&amp;[ORD-093]" c="ORD-093"/>
              <i n="[logistics 1].[OrderID].&amp;[ORD-094]" c="ORD-094"/>
              <i n="[logistics 1].[OrderID].&amp;[ORD-095]" c="ORD-095"/>
              <i n="[logistics 1].[OrderID].&amp;[ORD-096]" c="ORD-096"/>
              <i n="[logistics 1].[OrderID].&amp;[ORD-097]" c="ORD-097"/>
              <i n="[logistics 1].[OrderID].&amp;[ORD-098]" c="ORD-098"/>
              <i n="[logistics 1].[OrderID].&amp;[ORD-099]" c="ORD-099"/>
              <i n="[logistics 1].[OrderID].&amp;[ORD-100]" c="ORD-100"/>
            </range>
          </ranges>
        </level>
      </levels>
      <selections count="1">
        <selection n="[logistics 1].[OrderI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ual_transit_days" xr10:uid="{81610ADD-1626-4BB1-BBA3-EF13A3362EC7}" sourceName="[logistics 1].[Actual_transit_days]">
  <pivotTables>
    <pivotTable tabId="4" name="PivotTable1"/>
    <pivotTable tabId="4" name="PivotTable2"/>
    <pivotTable tabId="4" name="PivotTable3"/>
    <pivotTable tabId="4" name="PivotTable4"/>
    <pivotTable tabId="4" name="PivotTable5"/>
  </pivotTables>
  <data>
    <olap pivotCacheId="758219443">
      <levels count="2">
        <level uniqueName="[logistics 1].[Actual_transit_days].[(All)]" sourceCaption="(All)" count="0"/>
        <level uniqueName="[logistics 1].[Actual_transit_days].[Actual_transit_days]" sourceCaption="Actual_transit_days" count="7">
          <ranges>
            <range startItem="0">
              <i n="[logistics 1].[Actual_transit_days].&amp;[1]" c="1"/>
              <i n="[logistics 1].[Actual_transit_days].&amp;[2]" c="2"/>
              <i n="[logistics 1].[Actual_transit_days].&amp;[3]" c="3"/>
              <i n="[logistics 1].[Actual_transit_days].&amp;[4]" c="4"/>
              <i n="[logistics 1].[Actual_transit_days].&amp;[5]" c="5"/>
              <i n="[logistics 1].[Actual_transit_days].&amp;[6]" c="6"/>
              <i n="[logistics 1].[Actual_transit_days].&amp;[7]" c="7"/>
            </range>
          </ranges>
        </level>
      </levels>
      <selections count="1">
        <selection n="[logistics 1].[Actual_transit_day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ID" xr10:uid="{EBB32CAB-C509-4F8F-B2CB-EEB2FDB9507C}" cache="Slicer_OrderID" caption="OrderID" level="1" rowHeight="247650"/>
  <slicer name="Actual_transit_days" xr10:uid="{5786F58F-13C7-49DC-8EFD-8940D3E457D0}" cache="Slicer_Actual_transit_days" caption="Actual_transit_days"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4C3AB7-8A9B-4564-B44C-25C8523EC569}" name="orders" displayName="orders" ref="A1:D101" tableType="queryTable" totalsRowShown="0">
  <autoFilter ref="A1:D101" xr:uid="{A44C3AB7-8A9B-4564-B44C-25C8523EC569}"/>
  <tableColumns count="4">
    <tableColumn id="1" xr3:uid="{F6358741-D9D9-4B3F-90FF-325913E25890}" uniqueName="1" name="OrderID" queryTableFieldId="1" dataDxfId="10"/>
    <tableColumn id="2" xr3:uid="{9A642B89-2E46-4DD8-8B9D-23BFBE3AA5FA}" uniqueName="2" name="Product_Category" queryTableFieldId="2" dataDxfId="9"/>
    <tableColumn id="3" xr3:uid="{725AC8B8-CBCD-4D7B-8009-9C3FF8814ECB}" uniqueName="3" name="Destination_Zone" queryTableFieldId="3" dataDxfId="8"/>
    <tableColumn id="4" xr3:uid="{64A39D1C-ECD1-48E8-8957-A8AB1B2DC62B}" uniqueName="4" name="Customer_Type" queryTableFieldId="4" dataDxf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C5D86E-FD8E-4B73-84AF-A748060CA321}" name="logistics" displayName="logistics" ref="A1:J101" tableType="queryTable" totalsRowShown="0">
  <autoFilter ref="A1:J101" xr:uid="{5BC5D86E-FD8E-4B73-84AF-A748060CA321}"/>
  <tableColumns count="10">
    <tableColumn id="1" xr3:uid="{5C02E21A-634D-4522-B5FF-384B08653FA9}" uniqueName="1" name="OrderID" queryTableFieldId="1" dataDxfId="6"/>
    <tableColumn id="2" xr3:uid="{A2199478-0865-4B3C-AB98-32CF2A5E0878}" uniqueName="2" name="Carrier" queryTableFieldId="2" dataDxfId="5"/>
    <tableColumn id="3" xr3:uid="{33BED4B9-B4BC-4B8C-8453-ACABEEA3B7EA}" uniqueName="3" name="Order_Date" queryTableFieldId="3" dataDxfId="4"/>
    <tableColumn id="4" xr3:uid="{EF316C36-68D9-4E61-90F9-C5BB47FC055F}" uniqueName="4" name="Promised_Delivery_Days" queryTableFieldId="4"/>
    <tableColumn id="5" xr3:uid="{AC41513D-B34E-494C-BF14-07CEB236B054}" uniqueName="5" name="Actual_Delivery_Date" queryTableFieldId="5" dataDxfId="3"/>
    <tableColumn id="6" xr3:uid="{F0E331CE-A861-46D8-B472-4922C1B0C31E}" uniqueName="6" name="Shipping_Cost" queryTableFieldId="6"/>
    <tableColumn id="7" xr3:uid="{3F24E60A-BF06-4962-B9E1-EF6B7F55C910}" uniqueName="7" name="Actual_transit_days" queryTableFieldId="7"/>
    <tableColumn id="8" xr3:uid="{B516F6A6-4C7C-4AB0-AC2E-61760F704A7D}" uniqueName="8" name="Delivery_status" queryTableFieldId="8" dataDxfId="2"/>
    <tableColumn id="9" xr3:uid="{35FDF701-ACCB-46BC-B7D9-27CF8B6EB34D}" uniqueName="9" name="Destination_Zone" queryTableFieldId="9" dataDxfId="1"/>
    <tableColumn id="10" xr3:uid="{454A9C49-09AC-4E75-9931-4A8DF686E642}" uniqueName="10" name="Customer_Type"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5E12C12-927D-4F71-993E-CDBC0CC194C7}" sourceName="[logistics 1].[Order_Date]">
  <pivotTables>
    <pivotTable tabId="4" name="PivotTable3"/>
    <pivotTable tabId="4" name="PivotTable1"/>
    <pivotTable tabId="4" name="PivotTable2"/>
    <pivotTable tabId="4" name="PivotTable4"/>
    <pivotTable tabId="4" name="PivotTable5"/>
  </pivotTables>
  <state minimalRefreshVersion="6" lastRefreshVersion="6" pivotCacheId="293284343"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89BCC1A-C3F9-4AE3-9642-898986B1B3AF}" cache="Timeline_Order_Date" caption="Order_Date" level="2" selectionLevel="2" scrollPosition="2026-05-19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DDEE2-8181-4738-B848-178FCE7C3F13}">
  <dimension ref="D2:K32"/>
  <sheetViews>
    <sheetView workbookViewId="0">
      <selection activeCell="D2" sqref="D2:K2"/>
    </sheetView>
  </sheetViews>
  <sheetFormatPr defaultRowHeight="14.4" x14ac:dyDescent="0.3"/>
  <sheetData>
    <row r="2" spans="4:11" ht="21" x14ac:dyDescent="0.4">
      <c r="D2" s="8" t="s">
        <v>148</v>
      </c>
      <c r="E2" s="8"/>
      <c r="F2" s="8"/>
      <c r="G2" s="8"/>
      <c r="H2" s="8"/>
      <c r="I2" s="8"/>
      <c r="J2" s="8"/>
      <c r="K2" s="8"/>
    </row>
    <row r="5" spans="4:11" x14ac:dyDescent="0.3">
      <c r="D5" t="s">
        <v>143</v>
      </c>
    </row>
    <row r="6" spans="4:11" x14ac:dyDescent="0.3">
      <c r="D6" t="s">
        <v>126</v>
      </c>
    </row>
    <row r="8" spans="4:11" x14ac:dyDescent="0.3">
      <c r="D8" t="s">
        <v>127</v>
      </c>
    </row>
    <row r="11" spans="4:11" x14ac:dyDescent="0.3">
      <c r="D11" t="s">
        <v>144</v>
      </c>
    </row>
    <row r="12" spans="4:11" x14ac:dyDescent="0.3">
      <c r="D12" t="s">
        <v>128</v>
      </c>
    </row>
    <row r="14" spans="4:11" x14ac:dyDescent="0.3">
      <c r="D14" t="s">
        <v>129</v>
      </c>
    </row>
    <row r="17" spans="4:4" x14ac:dyDescent="0.3">
      <c r="D17" t="s">
        <v>145</v>
      </c>
    </row>
    <row r="18" spans="4:4" x14ac:dyDescent="0.3">
      <c r="D18" t="s">
        <v>130</v>
      </c>
    </row>
    <row r="20" spans="4:4" x14ac:dyDescent="0.3">
      <c r="D20" t="s">
        <v>131</v>
      </c>
    </row>
    <row r="23" spans="4:4" x14ac:dyDescent="0.3">
      <c r="D23" t="s">
        <v>146</v>
      </c>
    </row>
    <row r="24" spans="4:4" x14ac:dyDescent="0.3">
      <c r="D24" t="s">
        <v>132</v>
      </c>
    </row>
    <row r="26" spans="4:4" x14ac:dyDescent="0.3">
      <c r="D26" t="s">
        <v>133</v>
      </c>
    </row>
    <row r="29" spans="4:4" x14ac:dyDescent="0.3">
      <c r="D29" t="s">
        <v>147</v>
      </c>
    </row>
    <row r="30" spans="4:4" x14ac:dyDescent="0.3">
      <c r="D30" t="s">
        <v>134</v>
      </c>
    </row>
    <row r="32" spans="4:4" x14ac:dyDescent="0.3">
      <c r="D32" t="s">
        <v>135</v>
      </c>
    </row>
  </sheetData>
  <mergeCells count="1">
    <mergeCell ref="D2:K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7011A-634A-464D-9627-3E1BFB557463}">
  <dimension ref="A1:D101"/>
  <sheetViews>
    <sheetView workbookViewId="0">
      <selection activeCell="D20" sqref="D20"/>
    </sheetView>
  </sheetViews>
  <sheetFormatPr defaultRowHeight="14.4" x14ac:dyDescent="0.3"/>
  <cols>
    <col min="1" max="1" width="9.77734375" bestFit="1" customWidth="1"/>
    <col min="2" max="2" width="18" bestFit="1" customWidth="1"/>
    <col min="3" max="3" width="17.6640625" bestFit="1" customWidth="1"/>
    <col min="4" max="4" width="16.109375" bestFit="1" customWidth="1"/>
  </cols>
  <sheetData>
    <row r="1" spans="1:4" x14ac:dyDescent="0.3">
      <c r="A1" t="s">
        <v>0</v>
      </c>
      <c r="B1" t="s">
        <v>1</v>
      </c>
      <c r="C1" t="s">
        <v>2</v>
      </c>
      <c r="D1" t="s">
        <v>3</v>
      </c>
    </row>
    <row r="2" spans="1:4" x14ac:dyDescent="0.3">
      <c r="A2" s="1" t="s">
        <v>4</v>
      </c>
      <c r="B2" s="1" t="s">
        <v>5</v>
      </c>
      <c r="C2" s="1" t="s">
        <v>6</v>
      </c>
      <c r="D2" s="1" t="s">
        <v>7</v>
      </c>
    </row>
    <row r="3" spans="1:4" x14ac:dyDescent="0.3">
      <c r="A3" s="1" t="s">
        <v>8</v>
      </c>
      <c r="B3" s="1" t="s">
        <v>9</v>
      </c>
      <c r="C3" s="1" t="s">
        <v>10</v>
      </c>
      <c r="D3" s="1" t="s">
        <v>11</v>
      </c>
    </row>
    <row r="4" spans="1:4" x14ac:dyDescent="0.3">
      <c r="A4" s="1" t="s">
        <v>12</v>
      </c>
      <c r="B4" s="1" t="s">
        <v>5</v>
      </c>
      <c r="C4" s="1" t="s">
        <v>13</v>
      </c>
      <c r="D4" s="1" t="s">
        <v>7</v>
      </c>
    </row>
    <row r="5" spans="1:4" x14ac:dyDescent="0.3">
      <c r="A5" s="1" t="s">
        <v>14</v>
      </c>
      <c r="B5" s="1" t="s">
        <v>15</v>
      </c>
      <c r="C5" s="1" t="s">
        <v>16</v>
      </c>
      <c r="D5" s="1" t="s">
        <v>11</v>
      </c>
    </row>
    <row r="6" spans="1:4" x14ac:dyDescent="0.3">
      <c r="A6" s="1" t="s">
        <v>17</v>
      </c>
      <c r="B6" s="1" t="s">
        <v>9</v>
      </c>
      <c r="C6" s="1" t="s">
        <v>6</v>
      </c>
      <c r="D6" s="1" t="s">
        <v>18</v>
      </c>
    </row>
    <row r="7" spans="1:4" x14ac:dyDescent="0.3">
      <c r="A7" s="1" t="s">
        <v>19</v>
      </c>
      <c r="B7" s="1" t="s">
        <v>5</v>
      </c>
      <c r="C7" s="1" t="s">
        <v>10</v>
      </c>
      <c r="D7" s="1" t="s">
        <v>7</v>
      </c>
    </row>
    <row r="8" spans="1:4" x14ac:dyDescent="0.3">
      <c r="A8" s="1" t="s">
        <v>20</v>
      </c>
      <c r="B8" s="1" t="s">
        <v>15</v>
      </c>
      <c r="C8" s="1" t="s">
        <v>13</v>
      </c>
      <c r="D8" s="1" t="s">
        <v>18</v>
      </c>
    </row>
    <row r="9" spans="1:4" x14ac:dyDescent="0.3">
      <c r="A9" s="1" t="s">
        <v>21</v>
      </c>
      <c r="B9" s="1" t="s">
        <v>9</v>
      </c>
      <c r="C9" s="1" t="s">
        <v>16</v>
      </c>
      <c r="D9" s="1" t="s">
        <v>11</v>
      </c>
    </row>
    <row r="10" spans="1:4" x14ac:dyDescent="0.3">
      <c r="A10" s="1" t="s">
        <v>22</v>
      </c>
      <c r="B10" s="1" t="s">
        <v>5</v>
      </c>
      <c r="C10" s="1" t="s">
        <v>6</v>
      </c>
      <c r="D10" s="1" t="s">
        <v>7</v>
      </c>
    </row>
    <row r="11" spans="1:4" x14ac:dyDescent="0.3">
      <c r="A11" s="1" t="s">
        <v>23</v>
      </c>
      <c r="B11" s="1" t="s">
        <v>15</v>
      </c>
      <c r="C11" s="1" t="s">
        <v>10</v>
      </c>
      <c r="D11" s="1" t="s">
        <v>18</v>
      </c>
    </row>
    <row r="12" spans="1:4" x14ac:dyDescent="0.3">
      <c r="A12" s="1" t="s">
        <v>24</v>
      </c>
      <c r="B12" s="1" t="s">
        <v>9</v>
      </c>
      <c r="C12" s="1" t="s">
        <v>13</v>
      </c>
      <c r="D12" s="1" t="s">
        <v>11</v>
      </c>
    </row>
    <row r="13" spans="1:4" x14ac:dyDescent="0.3">
      <c r="A13" s="1" t="s">
        <v>25</v>
      </c>
      <c r="B13" s="1" t="s">
        <v>5</v>
      </c>
      <c r="C13" s="1" t="s">
        <v>16</v>
      </c>
      <c r="D13" s="1" t="s">
        <v>7</v>
      </c>
    </row>
    <row r="14" spans="1:4" x14ac:dyDescent="0.3">
      <c r="A14" s="1" t="s">
        <v>26</v>
      </c>
      <c r="B14" s="1" t="s">
        <v>15</v>
      </c>
      <c r="C14" s="1" t="s">
        <v>6</v>
      </c>
      <c r="D14" s="1" t="s">
        <v>18</v>
      </c>
    </row>
    <row r="15" spans="1:4" x14ac:dyDescent="0.3">
      <c r="A15" s="1" t="s">
        <v>27</v>
      </c>
      <c r="B15" s="1" t="s">
        <v>9</v>
      </c>
      <c r="C15" s="1" t="s">
        <v>10</v>
      </c>
      <c r="D15" s="1" t="s">
        <v>11</v>
      </c>
    </row>
    <row r="16" spans="1:4" x14ac:dyDescent="0.3">
      <c r="A16" s="1" t="s">
        <v>28</v>
      </c>
      <c r="B16" s="1" t="s">
        <v>5</v>
      </c>
      <c r="C16" s="1" t="s">
        <v>13</v>
      </c>
      <c r="D16" s="1" t="s">
        <v>7</v>
      </c>
    </row>
    <row r="17" spans="1:4" x14ac:dyDescent="0.3">
      <c r="A17" s="1" t="s">
        <v>29</v>
      </c>
      <c r="B17" s="1" t="s">
        <v>15</v>
      </c>
      <c r="C17" s="1" t="s">
        <v>16</v>
      </c>
      <c r="D17" s="1" t="s">
        <v>18</v>
      </c>
    </row>
    <row r="18" spans="1:4" x14ac:dyDescent="0.3">
      <c r="A18" s="1" t="s">
        <v>30</v>
      </c>
      <c r="B18" s="1" t="s">
        <v>9</v>
      </c>
      <c r="C18" s="1" t="s">
        <v>6</v>
      </c>
      <c r="D18" s="1" t="s">
        <v>11</v>
      </c>
    </row>
    <row r="19" spans="1:4" x14ac:dyDescent="0.3">
      <c r="A19" s="1" t="s">
        <v>31</v>
      </c>
      <c r="B19" s="1" t="s">
        <v>5</v>
      </c>
      <c r="C19" s="1" t="s">
        <v>10</v>
      </c>
      <c r="D19" s="1" t="s">
        <v>7</v>
      </c>
    </row>
    <row r="20" spans="1:4" x14ac:dyDescent="0.3">
      <c r="A20" s="1" t="s">
        <v>32</v>
      </c>
      <c r="B20" s="1" t="s">
        <v>15</v>
      </c>
      <c r="C20" s="1" t="s">
        <v>13</v>
      </c>
      <c r="D20" s="1" t="s">
        <v>18</v>
      </c>
    </row>
    <row r="21" spans="1:4" x14ac:dyDescent="0.3">
      <c r="A21" s="1" t="s">
        <v>33</v>
      </c>
      <c r="B21" s="1" t="s">
        <v>9</v>
      </c>
      <c r="C21" s="1" t="s">
        <v>16</v>
      </c>
      <c r="D21" s="1" t="s">
        <v>11</v>
      </c>
    </row>
    <row r="22" spans="1:4" x14ac:dyDescent="0.3">
      <c r="A22" s="1" t="s">
        <v>34</v>
      </c>
      <c r="B22" s="1" t="s">
        <v>5</v>
      </c>
      <c r="C22" s="1" t="s">
        <v>6</v>
      </c>
      <c r="D22" s="1" t="s">
        <v>7</v>
      </c>
    </row>
    <row r="23" spans="1:4" x14ac:dyDescent="0.3">
      <c r="A23" s="1" t="s">
        <v>35</v>
      </c>
      <c r="B23" s="1" t="s">
        <v>15</v>
      </c>
      <c r="C23" s="1" t="s">
        <v>10</v>
      </c>
      <c r="D23" s="1" t="s">
        <v>18</v>
      </c>
    </row>
    <row r="24" spans="1:4" x14ac:dyDescent="0.3">
      <c r="A24" s="1" t="s">
        <v>36</v>
      </c>
      <c r="B24" s="1" t="s">
        <v>9</v>
      </c>
      <c r="C24" s="1" t="s">
        <v>13</v>
      </c>
      <c r="D24" s="1" t="s">
        <v>11</v>
      </c>
    </row>
    <row r="25" spans="1:4" x14ac:dyDescent="0.3">
      <c r="A25" s="1" t="s">
        <v>37</v>
      </c>
      <c r="B25" s="1" t="s">
        <v>5</v>
      </c>
      <c r="C25" s="1" t="s">
        <v>16</v>
      </c>
      <c r="D25" s="1" t="s">
        <v>7</v>
      </c>
    </row>
    <row r="26" spans="1:4" x14ac:dyDescent="0.3">
      <c r="A26" s="1" t="s">
        <v>38</v>
      </c>
      <c r="B26" s="1" t="s">
        <v>15</v>
      </c>
      <c r="C26" s="1" t="s">
        <v>6</v>
      </c>
      <c r="D26" s="1" t="s">
        <v>18</v>
      </c>
    </row>
    <row r="27" spans="1:4" x14ac:dyDescent="0.3">
      <c r="A27" s="1" t="s">
        <v>39</v>
      </c>
      <c r="B27" s="1" t="s">
        <v>9</v>
      </c>
      <c r="C27" s="1" t="s">
        <v>10</v>
      </c>
      <c r="D27" s="1" t="s">
        <v>11</v>
      </c>
    </row>
    <row r="28" spans="1:4" x14ac:dyDescent="0.3">
      <c r="A28" s="1" t="s">
        <v>40</v>
      </c>
      <c r="B28" s="1" t="s">
        <v>5</v>
      </c>
      <c r="C28" s="1" t="s">
        <v>13</v>
      </c>
      <c r="D28" s="1" t="s">
        <v>7</v>
      </c>
    </row>
    <row r="29" spans="1:4" x14ac:dyDescent="0.3">
      <c r="A29" s="1" t="s">
        <v>41</v>
      </c>
      <c r="B29" s="1" t="s">
        <v>15</v>
      </c>
      <c r="C29" s="1" t="s">
        <v>16</v>
      </c>
      <c r="D29" s="1" t="s">
        <v>18</v>
      </c>
    </row>
    <row r="30" spans="1:4" x14ac:dyDescent="0.3">
      <c r="A30" s="1" t="s">
        <v>42</v>
      </c>
      <c r="B30" s="1" t="s">
        <v>9</v>
      </c>
      <c r="C30" s="1" t="s">
        <v>6</v>
      </c>
      <c r="D30" s="1" t="s">
        <v>11</v>
      </c>
    </row>
    <row r="31" spans="1:4" x14ac:dyDescent="0.3">
      <c r="A31" s="1" t="s">
        <v>43</v>
      </c>
      <c r="B31" s="1" t="s">
        <v>5</v>
      </c>
      <c r="C31" s="1" t="s">
        <v>10</v>
      </c>
      <c r="D31" s="1" t="s">
        <v>7</v>
      </c>
    </row>
    <row r="32" spans="1:4" x14ac:dyDescent="0.3">
      <c r="A32" s="1" t="s">
        <v>44</v>
      </c>
      <c r="B32" s="1" t="s">
        <v>15</v>
      </c>
      <c r="C32" s="1" t="s">
        <v>13</v>
      </c>
      <c r="D32" s="1" t="s">
        <v>18</v>
      </c>
    </row>
    <row r="33" spans="1:4" x14ac:dyDescent="0.3">
      <c r="A33" s="1" t="s">
        <v>45</v>
      </c>
      <c r="B33" s="1" t="s">
        <v>9</v>
      </c>
      <c r="C33" s="1" t="s">
        <v>16</v>
      </c>
      <c r="D33" s="1" t="s">
        <v>11</v>
      </c>
    </row>
    <row r="34" spans="1:4" x14ac:dyDescent="0.3">
      <c r="A34" s="1" t="s">
        <v>46</v>
      </c>
      <c r="B34" s="1" t="s">
        <v>5</v>
      </c>
      <c r="C34" s="1" t="s">
        <v>6</v>
      </c>
      <c r="D34" s="1" t="s">
        <v>7</v>
      </c>
    </row>
    <row r="35" spans="1:4" x14ac:dyDescent="0.3">
      <c r="A35" s="1" t="s">
        <v>47</v>
      </c>
      <c r="B35" s="1" t="s">
        <v>15</v>
      </c>
      <c r="C35" s="1" t="s">
        <v>10</v>
      </c>
      <c r="D35" s="1" t="s">
        <v>18</v>
      </c>
    </row>
    <row r="36" spans="1:4" x14ac:dyDescent="0.3">
      <c r="A36" s="1" t="s">
        <v>48</v>
      </c>
      <c r="B36" s="1" t="s">
        <v>9</v>
      </c>
      <c r="C36" s="1" t="s">
        <v>13</v>
      </c>
      <c r="D36" s="1" t="s">
        <v>11</v>
      </c>
    </row>
    <row r="37" spans="1:4" x14ac:dyDescent="0.3">
      <c r="A37" s="1" t="s">
        <v>49</v>
      </c>
      <c r="B37" s="1" t="s">
        <v>5</v>
      </c>
      <c r="C37" s="1" t="s">
        <v>16</v>
      </c>
      <c r="D37" s="1" t="s">
        <v>7</v>
      </c>
    </row>
    <row r="38" spans="1:4" x14ac:dyDescent="0.3">
      <c r="A38" s="1" t="s">
        <v>50</v>
      </c>
      <c r="B38" s="1" t="s">
        <v>15</v>
      </c>
      <c r="C38" s="1" t="s">
        <v>6</v>
      </c>
      <c r="D38" s="1" t="s">
        <v>18</v>
      </c>
    </row>
    <row r="39" spans="1:4" x14ac:dyDescent="0.3">
      <c r="A39" s="1" t="s">
        <v>51</v>
      </c>
      <c r="B39" s="1" t="s">
        <v>9</v>
      </c>
      <c r="C39" s="1" t="s">
        <v>10</v>
      </c>
      <c r="D39" s="1" t="s">
        <v>11</v>
      </c>
    </row>
    <row r="40" spans="1:4" x14ac:dyDescent="0.3">
      <c r="A40" s="1" t="s">
        <v>52</v>
      </c>
      <c r="B40" s="1" t="s">
        <v>5</v>
      </c>
      <c r="C40" s="1" t="s">
        <v>13</v>
      </c>
      <c r="D40" s="1" t="s">
        <v>7</v>
      </c>
    </row>
    <row r="41" spans="1:4" x14ac:dyDescent="0.3">
      <c r="A41" s="1" t="s">
        <v>53</v>
      </c>
      <c r="B41" s="1" t="s">
        <v>15</v>
      </c>
      <c r="C41" s="1" t="s">
        <v>16</v>
      </c>
      <c r="D41" s="1" t="s">
        <v>18</v>
      </c>
    </row>
    <row r="42" spans="1:4" x14ac:dyDescent="0.3">
      <c r="A42" s="1" t="s">
        <v>54</v>
      </c>
      <c r="B42" s="1" t="s">
        <v>9</v>
      </c>
      <c r="C42" s="1" t="s">
        <v>6</v>
      </c>
      <c r="D42" s="1" t="s">
        <v>11</v>
      </c>
    </row>
    <row r="43" spans="1:4" x14ac:dyDescent="0.3">
      <c r="A43" s="1" t="s">
        <v>55</v>
      </c>
      <c r="B43" s="1" t="s">
        <v>5</v>
      </c>
      <c r="C43" s="1" t="s">
        <v>10</v>
      </c>
      <c r="D43" s="1" t="s">
        <v>7</v>
      </c>
    </row>
    <row r="44" spans="1:4" x14ac:dyDescent="0.3">
      <c r="A44" s="1" t="s">
        <v>56</v>
      </c>
      <c r="B44" s="1" t="s">
        <v>15</v>
      </c>
      <c r="C44" s="1" t="s">
        <v>13</v>
      </c>
      <c r="D44" s="1" t="s">
        <v>18</v>
      </c>
    </row>
    <row r="45" spans="1:4" x14ac:dyDescent="0.3">
      <c r="A45" s="1" t="s">
        <v>57</v>
      </c>
      <c r="B45" s="1" t="s">
        <v>9</v>
      </c>
      <c r="C45" s="1" t="s">
        <v>16</v>
      </c>
      <c r="D45" s="1" t="s">
        <v>11</v>
      </c>
    </row>
    <row r="46" spans="1:4" x14ac:dyDescent="0.3">
      <c r="A46" s="1" t="s">
        <v>58</v>
      </c>
      <c r="B46" s="1" t="s">
        <v>5</v>
      </c>
      <c r="C46" s="1" t="s">
        <v>6</v>
      </c>
      <c r="D46" s="1" t="s">
        <v>7</v>
      </c>
    </row>
    <row r="47" spans="1:4" x14ac:dyDescent="0.3">
      <c r="A47" s="1" t="s">
        <v>59</v>
      </c>
      <c r="B47" s="1" t="s">
        <v>15</v>
      </c>
      <c r="C47" s="1" t="s">
        <v>10</v>
      </c>
      <c r="D47" s="1" t="s">
        <v>18</v>
      </c>
    </row>
    <row r="48" spans="1:4" x14ac:dyDescent="0.3">
      <c r="A48" s="1" t="s">
        <v>60</v>
      </c>
      <c r="B48" s="1" t="s">
        <v>9</v>
      </c>
      <c r="C48" s="1" t="s">
        <v>13</v>
      </c>
      <c r="D48" s="1" t="s">
        <v>11</v>
      </c>
    </row>
    <row r="49" spans="1:4" x14ac:dyDescent="0.3">
      <c r="A49" s="1" t="s">
        <v>61</v>
      </c>
      <c r="B49" s="1" t="s">
        <v>5</v>
      </c>
      <c r="C49" s="1" t="s">
        <v>16</v>
      </c>
      <c r="D49" s="1" t="s">
        <v>7</v>
      </c>
    </row>
    <row r="50" spans="1:4" x14ac:dyDescent="0.3">
      <c r="A50" s="1" t="s">
        <v>62</v>
      </c>
      <c r="B50" s="1" t="s">
        <v>15</v>
      </c>
      <c r="C50" s="1" t="s">
        <v>6</v>
      </c>
      <c r="D50" s="1" t="s">
        <v>18</v>
      </c>
    </row>
    <row r="51" spans="1:4" x14ac:dyDescent="0.3">
      <c r="A51" s="1" t="s">
        <v>63</v>
      </c>
      <c r="B51" s="1" t="s">
        <v>9</v>
      </c>
      <c r="C51" s="1" t="s">
        <v>10</v>
      </c>
      <c r="D51" s="1" t="s">
        <v>11</v>
      </c>
    </row>
    <row r="52" spans="1:4" x14ac:dyDescent="0.3">
      <c r="A52" s="1" t="s">
        <v>64</v>
      </c>
      <c r="B52" s="1" t="s">
        <v>5</v>
      </c>
      <c r="C52" s="1" t="s">
        <v>13</v>
      </c>
      <c r="D52" s="1" t="s">
        <v>7</v>
      </c>
    </row>
    <row r="53" spans="1:4" x14ac:dyDescent="0.3">
      <c r="A53" s="1" t="s">
        <v>65</v>
      </c>
      <c r="B53" s="1" t="s">
        <v>15</v>
      </c>
      <c r="C53" s="1" t="s">
        <v>16</v>
      </c>
      <c r="D53" s="1" t="s">
        <v>18</v>
      </c>
    </row>
    <row r="54" spans="1:4" x14ac:dyDescent="0.3">
      <c r="A54" s="1" t="s">
        <v>66</v>
      </c>
      <c r="B54" s="1" t="s">
        <v>9</v>
      </c>
      <c r="C54" s="1" t="s">
        <v>6</v>
      </c>
      <c r="D54" s="1" t="s">
        <v>11</v>
      </c>
    </row>
    <row r="55" spans="1:4" x14ac:dyDescent="0.3">
      <c r="A55" s="1" t="s">
        <v>67</v>
      </c>
      <c r="B55" s="1" t="s">
        <v>5</v>
      </c>
      <c r="C55" s="1" t="s">
        <v>10</v>
      </c>
      <c r="D55" s="1" t="s">
        <v>7</v>
      </c>
    </row>
    <row r="56" spans="1:4" x14ac:dyDescent="0.3">
      <c r="A56" s="1" t="s">
        <v>68</v>
      </c>
      <c r="B56" s="1" t="s">
        <v>15</v>
      </c>
      <c r="C56" s="1" t="s">
        <v>13</v>
      </c>
      <c r="D56" s="1" t="s">
        <v>18</v>
      </c>
    </row>
    <row r="57" spans="1:4" x14ac:dyDescent="0.3">
      <c r="A57" s="1" t="s">
        <v>69</v>
      </c>
      <c r="B57" s="1" t="s">
        <v>9</v>
      </c>
      <c r="C57" s="1" t="s">
        <v>16</v>
      </c>
      <c r="D57" s="1" t="s">
        <v>11</v>
      </c>
    </row>
    <row r="58" spans="1:4" x14ac:dyDescent="0.3">
      <c r="A58" s="1" t="s">
        <v>70</v>
      </c>
      <c r="B58" s="1" t="s">
        <v>5</v>
      </c>
      <c r="C58" s="1" t="s">
        <v>6</v>
      </c>
      <c r="D58" s="1" t="s">
        <v>7</v>
      </c>
    </row>
    <row r="59" spans="1:4" x14ac:dyDescent="0.3">
      <c r="A59" s="1" t="s">
        <v>71</v>
      </c>
      <c r="B59" s="1" t="s">
        <v>15</v>
      </c>
      <c r="C59" s="1" t="s">
        <v>10</v>
      </c>
      <c r="D59" s="1" t="s">
        <v>18</v>
      </c>
    </row>
    <row r="60" spans="1:4" x14ac:dyDescent="0.3">
      <c r="A60" s="1" t="s">
        <v>72</v>
      </c>
      <c r="B60" s="1" t="s">
        <v>9</v>
      </c>
      <c r="C60" s="1" t="s">
        <v>13</v>
      </c>
      <c r="D60" s="1" t="s">
        <v>11</v>
      </c>
    </row>
    <row r="61" spans="1:4" x14ac:dyDescent="0.3">
      <c r="A61" s="1" t="s">
        <v>73</v>
      </c>
      <c r="B61" s="1" t="s">
        <v>5</v>
      </c>
      <c r="C61" s="1" t="s">
        <v>16</v>
      </c>
      <c r="D61" s="1" t="s">
        <v>7</v>
      </c>
    </row>
    <row r="62" spans="1:4" x14ac:dyDescent="0.3">
      <c r="A62" s="1" t="s">
        <v>74</v>
      </c>
      <c r="B62" s="1" t="s">
        <v>15</v>
      </c>
      <c r="C62" s="1" t="s">
        <v>6</v>
      </c>
      <c r="D62" s="1" t="s">
        <v>18</v>
      </c>
    </row>
    <row r="63" spans="1:4" x14ac:dyDescent="0.3">
      <c r="A63" s="1" t="s">
        <v>75</v>
      </c>
      <c r="B63" s="1" t="s">
        <v>9</v>
      </c>
      <c r="C63" s="1" t="s">
        <v>10</v>
      </c>
      <c r="D63" s="1" t="s">
        <v>11</v>
      </c>
    </row>
    <row r="64" spans="1:4" x14ac:dyDescent="0.3">
      <c r="A64" s="1" t="s">
        <v>76</v>
      </c>
      <c r="B64" s="1" t="s">
        <v>5</v>
      </c>
      <c r="C64" s="1" t="s">
        <v>13</v>
      </c>
      <c r="D64" s="1" t="s">
        <v>7</v>
      </c>
    </row>
    <row r="65" spans="1:4" x14ac:dyDescent="0.3">
      <c r="A65" s="1" t="s">
        <v>77</v>
      </c>
      <c r="B65" s="1" t="s">
        <v>15</v>
      </c>
      <c r="C65" s="1" t="s">
        <v>16</v>
      </c>
      <c r="D65" s="1" t="s">
        <v>18</v>
      </c>
    </row>
    <row r="66" spans="1:4" x14ac:dyDescent="0.3">
      <c r="A66" s="1" t="s">
        <v>78</v>
      </c>
      <c r="B66" s="1" t="s">
        <v>9</v>
      </c>
      <c r="C66" s="1" t="s">
        <v>6</v>
      </c>
      <c r="D66" s="1" t="s">
        <v>11</v>
      </c>
    </row>
    <row r="67" spans="1:4" x14ac:dyDescent="0.3">
      <c r="A67" s="1" t="s">
        <v>79</v>
      </c>
      <c r="B67" s="1" t="s">
        <v>5</v>
      </c>
      <c r="C67" s="1" t="s">
        <v>10</v>
      </c>
      <c r="D67" s="1" t="s">
        <v>7</v>
      </c>
    </row>
    <row r="68" spans="1:4" x14ac:dyDescent="0.3">
      <c r="A68" s="1" t="s">
        <v>80</v>
      </c>
      <c r="B68" s="1" t="s">
        <v>15</v>
      </c>
      <c r="C68" s="1" t="s">
        <v>13</v>
      </c>
      <c r="D68" s="1" t="s">
        <v>18</v>
      </c>
    </row>
    <row r="69" spans="1:4" x14ac:dyDescent="0.3">
      <c r="A69" s="1" t="s">
        <v>81</v>
      </c>
      <c r="B69" s="1" t="s">
        <v>9</v>
      </c>
      <c r="C69" s="1" t="s">
        <v>16</v>
      </c>
      <c r="D69" s="1" t="s">
        <v>11</v>
      </c>
    </row>
    <row r="70" spans="1:4" x14ac:dyDescent="0.3">
      <c r="A70" s="1" t="s">
        <v>82</v>
      </c>
      <c r="B70" s="1" t="s">
        <v>5</v>
      </c>
      <c r="C70" s="1" t="s">
        <v>6</v>
      </c>
      <c r="D70" s="1" t="s">
        <v>7</v>
      </c>
    </row>
    <row r="71" spans="1:4" x14ac:dyDescent="0.3">
      <c r="A71" s="1" t="s">
        <v>83</v>
      </c>
      <c r="B71" s="1" t="s">
        <v>15</v>
      </c>
      <c r="C71" s="1" t="s">
        <v>10</v>
      </c>
      <c r="D71" s="1" t="s">
        <v>18</v>
      </c>
    </row>
    <row r="72" spans="1:4" x14ac:dyDescent="0.3">
      <c r="A72" s="1" t="s">
        <v>84</v>
      </c>
      <c r="B72" s="1" t="s">
        <v>9</v>
      </c>
      <c r="C72" s="1" t="s">
        <v>13</v>
      </c>
      <c r="D72" s="1" t="s">
        <v>11</v>
      </c>
    </row>
    <row r="73" spans="1:4" x14ac:dyDescent="0.3">
      <c r="A73" s="1" t="s">
        <v>85</v>
      </c>
      <c r="B73" s="1" t="s">
        <v>5</v>
      </c>
      <c r="C73" s="1" t="s">
        <v>16</v>
      </c>
      <c r="D73" s="1" t="s">
        <v>7</v>
      </c>
    </row>
    <row r="74" spans="1:4" x14ac:dyDescent="0.3">
      <c r="A74" s="1" t="s">
        <v>86</v>
      </c>
      <c r="B74" s="1" t="s">
        <v>15</v>
      </c>
      <c r="C74" s="1" t="s">
        <v>6</v>
      </c>
      <c r="D74" s="1" t="s">
        <v>18</v>
      </c>
    </row>
    <row r="75" spans="1:4" x14ac:dyDescent="0.3">
      <c r="A75" s="1" t="s">
        <v>87</v>
      </c>
      <c r="B75" s="1" t="s">
        <v>9</v>
      </c>
      <c r="C75" s="1" t="s">
        <v>10</v>
      </c>
      <c r="D75" s="1" t="s">
        <v>11</v>
      </c>
    </row>
    <row r="76" spans="1:4" x14ac:dyDescent="0.3">
      <c r="A76" s="1" t="s">
        <v>88</v>
      </c>
      <c r="B76" s="1" t="s">
        <v>5</v>
      </c>
      <c r="C76" s="1" t="s">
        <v>13</v>
      </c>
      <c r="D76" s="1" t="s">
        <v>7</v>
      </c>
    </row>
    <row r="77" spans="1:4" x14ac:dyDescent="0.3">
      <c r="A77" s="1" t="s">
        <v>89</v>
      </c>
      <c r="B77" s="1" t="s">
        <v>15</v>
      </c>
      <c r="C77" s="1" t="s">
        <v>16</v>
      </c>
      <c r="D77" s="1" t="s">
        <v>18</v>
      </c>
    </row>
    <row r="78" spans="1:4" x14ac:dyDescent="0.3">
      <c r="A78" s="1" t="s">
        <v>90</v>
      </c>
      <c r="B78" s="1" t="s">
        <v>9</v>
      </c>
      <c r="C78" s="1" t="s">
        <v>6</v>
      </c>
      <c r="D78" s="1" t="s">
        <v>11</v>
      </c>
    </row>
    <row r="79" spans="1:4" x14ac:dyDescent="0.3">
      <c r="A79" s="1" t="s">
        <v>91</v>
      </c>
      <c r="B79" s="1" t="s">
        <v>5</v>
      </c>
      <c r="C79" s="1" t="s">
        <v>10</v>
      </c>
      <c r="D79" s="1" t="s">
        <v>7</v>
      </c>
    </row>
    <row r="80" spans="1:4" x14ac:dyDescent="0.3">
      <c r="A80" s="1" t="s">
        <v>92</v>
      </c>
      <c r="B80" s="1" t="s">
        <v>15</v>
      </c>
      <c r="C80" s="1" t="s">
        <v>13</v>
      </c>
      <c r="D80" s="1" t="s">
        <v>18</v>
      </c>
    </row>
    <row r="81" spans="1:4" x14ac:dyDescent="0.3">
      <c r="A81" s="1" t="s">
        <v>93</v>
      </c>
      <c r="B81" s="1" t="s">
        <v>9</v>
      </c>
      <c r="C81" s="1" t="s">
        <v>16</v>
      </c>
      <c r="D81" s="1" t="s">
        <v>11</v>
      </c>
    </row>
    <row r="82" spans="1:4" x14ac:dyDescent="0.3">
      <c r="A82" s="1" t="s">
        <v>94</v>
      </c>
      <c r="B82" s="1" t="s">
        <v>5</v>
      </c>
      <c r="C82" s="1" t="s">
        <v>6</v>
      </c>
      <c r="D82" s="1" t="s">
        <v>7</v>
      </c>
    </row>
    <row r="83" spans="1:4" x14ac:dyDescent="0.3">
      <c r="A83" s="1" t="s">
        <v>95</v>
      </c>
      <c r="B83" s="1" t="s">
        <v>15</v>
      </c>
      <c r="C83" s="1" t="s">
        <v>10</v>
      </c>
      <c r="D83" s="1" t="s">
        <v>18</v>
      </c>
    </row>
    <row r="84" spans="1:4" x14ac:dyDescent="0.3">
      <c r="A84" s="1" t="s">
        <v>96</v>
      </c>
      <c r="B84" s="1" t="s">
        <v>9</v>
      </c>
      <c r="C84" s="1" t="s">
        <v>13</v>
      </c>
      <c r="D84" s="1" t="s">
        <v>11</v>
      </c>
    </row>
    <row r="85" spans="1:4" x14ac:dyDescent="0.3">
      <c r="A85" s="1" t="s">
        <v>97</v>
      </c>
      <c r="B85" s="1" t="s">
        <v>5</v>
      </c>
      <c r="C85" s="1" t="s">
        <v>16</v>
      </c>
      <c r="D85" s="1" t="s">
        <v>7</v>
      </c>
    </row>
    <row r="86" spans="1:4" x14ac:dyDescent="0.3">
      <c r="A86" s="1" t="s">
        <v>98</v>
      </c>
      <c r="B86" s="1" t="s">
        <v>15</v>
      </c>
      <c r="C86" s="1" t="s">
        <v>6</v>
      </c>
      <c r="D86" s="1" t="s">
        <v>18</v>
      </c>
    </row>
    <row r="87" spans="1:4" x14ac:dyDescent="0.3">
      <c r="A87" s="1" t="s">
        <v>99</v>
      </c>
      <c r="B87" s="1" t="s">
        <v>9</v>
      </c>
      <c r="C87" s="1" t="s">
        <v>10</v>
      </c>
      <c r="D87" s="1" t="s">
        <v>11</v>
      </c>
    </row>
    <row r="88" spans="1:4" x14ac:dyDescent="0.3">
      <c r="A88" s="1" t="s">
        <v>100</v>
      </c>
      <c r="B88" s="1" t="s">
        <v>5</v>
      </c>
      <c r="C88" s="1" t="s">
        <v>13</v>
      </c>
      <c r="D88" s="1" t="s">
        <v>7</v>
      </c>
    </row>
    <row r="89" spans="1:4" x14ac:dyDescent="0.3">
      <c r="A89" s="1" t="s">
        <v>101</v>
      </c>
      <c r="B89" s="1" t="s">
        <v>15</v>
      </c>
      <c r="C89" s="1" t="s">
        <v>16</v>
      </c>
      <c r="D89" s="1" t="s">
        <v>18</v>
      </c>
    </row>
    <row r="90" spans="1:4" x14ac:dyDescent="0.3">
      <c r="A90" s="1" t="s">
        <v>102</v>
      </c>
      <c r="B90" s="1" t="s">
        <v>9</v>
      </c>
      <c r="C90" s="1" t="s">
        <v>6</v>
      </c>
      <c r="D90" s="1" t="s">
        <v>11</v>
      </c>
    </row>
    <row r="91" spans="1:4" x14ac:dyDescent="0.3">
      <c r="A91" s="1" t="s">
        <v>103</v>
      </c>
      <c r="B91" s="1" t="s">
        <v>5</v>
      </c>
      <c r="C91" s="1" t="s">
        <v>10</v>
      </c>
      <c r="D91" s="1" t="s">
        <v>7</v>
      </c>
    </row>
    <row r="92" spans="1:4" x14ac:dyDescent="0.3">
      <c r="A92" s="1" t="s">
        <v>104</v>
      </c>
      <c r="B92" s="1" t="s">
        <v>15</v>
      </c>
      <c r="C92" s="1" t="s">
        <v>13</v>
      </c>
      <c r="D92" s="1" t="s">
        <v>18</v>
      </c>
    </row>
    <row r="93" spans="1:4" x14ac:dyDescent="0.3">
      <c r="A93" s="1" t="s">
        <v>105</v>
      </c>
      <c r="B93" s="1" t="s">
        <v>9</v>
      </c>
      <c r="C93" s="1" t="s">
        <v>16</v>
      </c>
      <c r="D93" s="1" t="s">
        <v>11</v>
      </c>
    </row>
    <row r="94" spans="1:4" x14ac:dyDescent="0.3">
      <c r="A94" s="1" t="s">
        <v>106</v>
      </c>
      <c r="B94" s="1" t="s">
        <v>5</v>
      </c>
      <c r="C94" s="1" t="s">
        <v>6</v>
      </c>
      <c r="D94" s="1" t="s">
        <v>7</v>
      </c>
    </row>
    <row r="95" spans="1:4" x14ac:dyDescent="0.3">
      <c r="A95" s="1" t="s">
        <v>107</v>
      </c>
      <c r="B95" s="1" t="s">
        <v>15</v>
      </c>
      <c r="C95" s="1" t="s">
        <v>10</v>
      </c>
      <c r="D95" s="1" t="s">
        <v>18</v>
      </c>
    </row>
    <row r="96" spans="1:4" x14ac:dyDescent="0.3">
      <c r="A96" s="1" t="s">
        <v>108</v>
      </c>
      <c r="B96" s="1" t="s">
        <v>9</v>
      </c>
      <c r="C96" s="1" t="s">
        <v>13</v>
      </c>
      <c r="D96" s="1" t="s">
        <v>11</v>
      </c>
    </row>
    <row r="97" spans="1:4" x14ac:dyDescent="0.3">
      <c r="A97" s="1" t="s">
        <v>109</v>
      </c>
      <c r="B97" s="1" t="s">
        <v>5</v>
      </c>
      <c r="C97" s="1" t="s">
        <v>16</v>
      </c>
      <c r="D97" s="1" t="s">
        <v>7</v>
      </c>
    </row>
    <row r="98" spans="1:4" x14ac:dyDescent="0.3">
      <c r="A98" s="1" t="s">
        <v>110</v>
      </c>
      <c r="B98" s="1" t="s">
        <v>15</v>
      </c>
      <c r="C98" s="1" t="s">
        <v>6</v>
      </c>
      <c r="D98" s="1" t="s">
        <v>18</v>
      </c>
    </row>
    <row r="99" spans="1:4" x14ac:dyDescent="0.3">
      <c r="A99" s="1" t="s">
        <v>111</v>
      </c>
      <c r="B99" s="1" t="s">
        <v>9</v>
      </c>
      <c r="C99" s="1" t="s">
        <v>10</v>
      </c>
      <c r="D99" s="1" t="s">
        <v>11</v>
      </c>
    </row>
    <row r="100" spans="1:4" x14ac:dyDescent="0.3">
      <c r="A100" s="1" t="s">
        <v>112</v>
      </c>
      <c r="B100" s="1" t="s">
        <v>5</v>
      </c>
      <c r="C100" s="1" t="s">
        <v>13</v>
      </c>
      <c r="D100" s="1" t="s">
        <v>7</v>
      </c>
    </row>
    <row r="101" spans="1:4" x14ac:dyDescent="0.3">
      <c r="A101" s="1" t="s">
        <v>113</v>
      </c>
      <c r="B101" s="1" t="s">
        <v>15</v>
      </c>
      <c r="C101" s="1" t="s">
        <v>16</v>
      </c>
      <c r="D101" s="1" t="s">
        <v>18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A9C96-1FAB-440E-8DCE-BE8B2D345A7A}">
  <dimension ref="A1:J101"/>
  <sheetViews>
    <sheetView workbookViewId="0">
      <selection activeCell="F19" sqref="F19"/>
    </sheetView>
  </sheetViews>
  <sheetFormatPr defaultRowHeight="14.4" x14ac:dyDescent="0.3"/>
  <cols>
    <col min="1" max="1" width="9.77734375" bestFit="1" customWidth="1"/>
    <col min="2" max="2" width="9" bestFit="1" customWidth="1"/>
    <col min="3" max="3" width="12.6640625" bestFit="1" customWidth="1"/>
    <col min="4" max="4" width="23.88671875" bestFit="1" customWidth="1"/>
    <col min="5" max="5" width="21" bestFit="1" customWidth="1"/>
    <col min="6" max="6" width="16.21875" bestFit="1" customWidth="1"/>
    <col min="7" max="7" width="19.6640625" bestFit="1" customWidth="1"/>
    <col min="8" max="8" width="16" bestFit="1" customWidth="1"/>
    <col min="9" max="9" width="17.6640625" bestFit="1" customWidth="1"/>
    <col min="10" max="10" width="16.109375" bestFit="1" customWidth="1"/>
  </cols>
  <sheetData>
    <row r="1" spans="1:10" x14ac:dyDescent="0.3">
      <c r="A1" t="s">
        <v>0</v>
      </c>
      <c r="B1" t="s">
        <v>114</v>
      </c>
      <c r="C1" t="s">
        <v>115</v>
      </c>
      <c r="D1" t="s">
        <v>116</v>
      </c>
      <c r="E1" t="s">
        <v>117</v>
      </c>
      <c r="F1" s="6" t="s">
        <v>118</v>
      </c>
      <c r="G1" t="s">
        <v>119</v>
      </c>
      <c r="H1" t="s">
        <v>120</v>
      </c>
      <c r="I1" t="s">
        <v>2</v>
      </c>
      <c r="J1" t="s">
        <v>3</v>
      </c>
    </row>
    <row r="2" spans="1:10" x14ac:dyDescent="0.3">
      <c r="A2" s="1" t="s">
        <v>4</v>
      </c>
      <c r="B2" s="1" t="s">
        <v>121</v>
      </c>
      <c r="C2" s="2">
        <v>46189</v>
      </c>
      <c r="D2">
        <v>3</v>
      </c>
      <c r="E2" s="2">
        <v>46191</v>
      </c>
      <c r="F2">
        <v>1520</v>
      </c>
      <c r="G2">
        <v>2</v>
      </c>
      <c r="H2" s="1" t="s">
        <v>122</v>
      </c>
      <c r="I2" s="1" t="s">
        <v>6</v>
      </c>
      <c r="J2" s="1" t="s">
        <v>7</v>
      </c>
    </row>
    <row r="3" spans="1:10" x14ac:dyDescent="0.3">
      <c r="A3" s="1" t="s">
        <v>8</v>
      </c>
      <c r="B3" s="1" t="s">
        <v>123</v>
      </c>
      <c r="C3" s="2">
        <v>46189</v>
      </c>
      <c r="D3">
        <v>5</v>
      </c>
      <c r="E3" s="2">
        <v>46195</v>
      </c>
      <c r="F3">
        <v>3210</v>
      </c>
      <c r="G3">
        <v>6</v>
      </c>
      <c r="H3" s="1" t="s">
        <v>124</v>
      </c>
      <c r="I3" s="1" t="s">
        <v>10</v>
      </c>
      <c r="J3" s="1" t="s">
        <v>11</v>
      </c>
    </row>
    <row r="4" spans="1:10" x14ac:dyDescent="0.3">
      <c r="A4" s="1" t="s">
        <v>12</v>
      </c>
      <c r="B4" s="1" t="s">
        <v>125</v>
      </c>
      <c r="C4" s="2">
        <v>46190</v>
      </c>
      <c r="D4">
        <v>2</v>
      </c>
      <c r="E4" s="2">
        <v>46192</v>
      </c>
      <c r="F4">
        <v>4500</v>
      </c>
      <c r="G4">
        <v>2</v>
      </c>
      <c r="H4" s="1" t="s">
        <v>122</v>
      </c>
      <c r="I4" s="1" t="s">
        <v>13</v>
      </c>
      <c r="J4" s="1" t="s">
        <v>7</v>
      </c>
    </row>
    <row r="5" spans="1:10" x14ac:dyDescent="0.3">
      <c r="A5" s="1" t="s">
        <v>14</v>
      </c>
      <c r="B5" s="1" t="s">
        <v>121</v>
      </c>
      <c r="C5" s="2">
        <v>46190</v>
      </c>
      <c r="D5">
        <v>4</v>
      </c>
      <c r="E5" s="2">
        <v>46196</v>
      </c>
      <c r="F5">
        <v>1280</v>
      </c>
      <c r="G5">
        <v>6</v>
      </c>
      <c r="H5" s="1" t="s">
        <v>124</v>
      </c>
      <c r="I5" s="1" t="s">
        <v>16</v>
      </c>
      <c r="J5" s="1" t="s">
        <v>11</v>
      </c>
    </row>
    <row r="6" spans="1:10" x14ac:dyDescent="0.3">
      <c r="A6" s="1" t="s">
        <v>17</v>
      </c>
      <c r="B6" s="1" t="s">
        <v>123</v>
      </c>
      <c r="C6" s="2">
        <v>46191</v>
      </c>
      <c r="D6">
        <v>3</v>
      </c>
      <c r="E6" s="2">
        <v>46193</v>
      </c>
      <c r="F6">
        <v>2110</v>
      </c>
      <c r="G6">
        <v>2</v>
      </c>
      <c r="H6" s="1" t="s">
        <v>122</v>
      </c>
      <c r="I6" s="1" t="s">
        <v>6</v>
      </c>
      <c r="J6" s="1" t="s">
        <v>18</v>
      </c>
    </row>
    <row r="7" spans="1:10" x14ac:dyDescent="0.3">
      <c r="A7" s="1" t="s">
        <v>19</v>
      </c>
      <c r="B7" s="1" t="s">
        <v>125</v>
      </c>
      <c r="C7" s="2">
        <v>46192</v>
      </c>
      <c r="D7">
        <v>2</v>
      </c>
      <c r="E7" s="2">
        <v>46196</v>
      </c>
      <c r="F7">
        <v>5150</v>
      </c>
      <c r="G7">
        <v>4</v>
      </c>
      <c r="H7" s="1" t="s">
        <v>124</v>
      </c>
      <c r="I7" s="1" t="s">
        <v>10</v>
      </c>
      <c r="J7" s="1" t="s">
        <v>7</v>
      </c>
    </row>
    <row r="8" spans="1:10" x14ac:dyDescent="0.3">
      <c r="A8" s="1" t="s">
        <v>20</v>
      </c>
      <c r="B8" s="1" t="s">
        <v>121</v>
      </c>
      <c r="C8" s="2">
        <v>46193</v>
      </c>
      <c r="D8">
        <v>4</v>
      </c>
      <c r="E8" s="2">
        <v>46195</v>
      </c>
      <c r="F8">
        <v>1340</v>
      </c>
      <c r="G8">
        <v>2</v>
      </c>
      <c r="H8" s="1" t="s">
        <v>122</v>
      </c>
      <c r="I8" s="1" t="s">
        <v>13</v>
      </c>
      <c r="J8" s="1" t="s">
        <v>18</v>
      </c>
    </row>
    <row r="9" spans="1:10" x14ac:dyDescent="0.3">
      <c r="A9" s="1" t="s">
        <v>21</v>
      </c>
      <c r="B9" s="1" t="s">
        <v>123</v>
      </c>
      <c r="C9" s="2">
        <v>46193</v>
      </c>
      <c r="D9">
        <v>5</v>
      </c>
      <c r="E9" s="2">
        <v>46200</v>
      </c>
      <c r="F9">
        <v>3120</v>
      </c>
      <c r="G9">
        <v>7</v>
      </c>
      <c r="H9" s="1" t="s">
        <v>124</v>
      </c>
      <c r="I9" s="1" t="s">
        <v>16</v>
      </c>
      <c r="J9" s="1" t="s">
        <v>11</v>
      </c>
    </row>
    <row r="10" spans="1:10" x14ac:dyDescent="0.3">
      <c r="A10" s="1" t="s">
        <v>22</v>
      </c>
      <c r="B10" s="1" t="s">
        <v>125</v>
      </c>
      <c r="C10" s="2">
        <v>46194</v>
      </c>
      <c r="D10">
        <v>2</v>
      </c>
      <c r="E10" s="2">
        <v>46196</v>
      </c>
      <c r="F10">
        <v>4680</v>
      </c>
      <c r="G10">
        <v>2</v>
      </c>
      <c r="H10" s="1" t="s">
        <v>122</v>
      </c>
      <c r="I10" s="1" t="s">
        <v>6</v>
      </c>
      <c r="J10" s="1" t="s">
        <v>7</v>
      </c>
    </row>
    <row r="11" spans="1:10" x14ac:dyDescent="0.3">
      <c r="A11" s="1" t="s">
        <v>23</v>
      </c>
      <c r="B11" s="1" t="s">
        <v>121</v>
      </c>
      <c r="C11" s="2">
        <v>46194</v>
      </c>
      <c r="D11">
        <v>3</v>
      </c>
      <c r="E11" s="2">
        <v>46199</v>
      </c>
      <c r="F11">
        <v>1440</v>
      </c>
      <c r="G11">
        <v>5</v>
      </c>
      <c r="H11" s="1" t="s">
        <v>124</v>
      </c>
      <c r="I11" s="1" t="s">
        <v>10</v>
      </c>
      <c r="J11" s="1" t="s">
        <v>18</v>
      </c>
    </row>
    <row r="12" spans="1:10" x14ac:dyDescent="0.3">
      <c r="A12" s="1" t="s">
        <v>24</v>
      </c>
      <c r="B12" s="1" t="s">
        <v>123</v>
      </c>
      <c r="C12" s="2">
        <v>46195</v>
      </c>
      <c r="D12">
        <v>4</v>
      </c>
      <c r="E12" s="2">
        <v>46198</v>
      </c>
      <c r="F12">
        <v>2890</v>
      </c>
      <c r="G12">
        <v>3</v>
      </c>
      <c r="H12" s="1" t="s">
        <v>122</v>
      </c>
      <c r="I12" s="1" t="s">
        <v>13</v>
      </c>
      <c r="J12" s="1" t="s">
        <v>11</v>
      </c>
    </row>
    <row r="13" spans="1:10" x14ac:dyDescent="0.3">
      <c r="A13" s="1" t="s">
        <v>25</v>
      </c>
      <c r="B13" s="1" t="s">
        <v>125</v>
      </c>
      <c r="C13" s="2">
        <v>46195</v>
      </c>
      <c r="D13">
        <v>3</v>
      </c>
      <c r="E13" s="2">
        <v>46197</v>
      </c>
      <c r="F13">
        <v>4100</v>
      </c>
      <c r="G13">
        <v>2</v>
      </c>
      <c r="H13" s="1" t="s">
        <v>122</v>
      </c>
      <c r="I13" s="1" t="s">
        <v>16</v>
      </c>
      <c r="J13" s="1" t="s">
        <v>7</v>
      </c>
    </row>
    <row r="14" spans="1:10" x14ac:dyDescent="0.3">
      <c r="A14" s="1" t="s">
        <v>26</v>
      </c>
      <c r="B14" s="1" t="s">
        <v>121</v>
      </c>
      <c r="C14" s="2">
        <v>46196</v>
      </c>
      <c r="D14">
        <v>5</v>
      </c>
      <c r="E14" s="2">
        <v>46202</v>
      </c>
      <c r="F14">
        <v>1650</v>
      </c>
      <c r="G14">
        <v>6</v>
      </c>
      <c r="H14" s="1" t="s">
        <v>124</v>
      </c>
      <c r="I14" s="1" t="s">
        <v>6</v>
      </c>
      <c r="J14" s="1" t="s">
        <v>18</v>
      </c>
    </row>
    <row r="15" spans="1:10" x14ac:dyDescent="0.3">
      <c r="A15" s="1" t="s">
        <v>27</v>
      </c>
      <c r="B15" s="1" t="s">
        <v>123</v>
      </c>
      <c r="C15" s="2">
        <v>46196</v>
      </c>
      <c r="D15">
        <v>3</v>
      </c>
      <c r="E15" s="2">
        <v>46198</v>
      </c>
      <c r="F15">
        <v>2400</v>
      </c>
      <c r="G15">
        <v>2</v>
      </c>
      <c r="H15" s="1" t="s">
        <v>122</v>
      </c>
      <c r="I15" s="1" t="s">
        <v>10</v>
      </c>
      <c r="J15" s="1" t="s">
        <v>11</v>
      </c>
    </row>
    <row r="16" spans="1:10" x14ac:dyDescent="0.3">
      <c r="A16" s="1" t="s">
        <v>28</v>
      </c>
      <c r="B16" s="1" t="s">
        <v>125</v>
      </c>
      <c r="C16" s="2">
        <v>46197</v>
      </c>
      <c r="D16">
        <v>2</v>
      </c>
      <c r="E16" s="2">
        <v>46201</v>
      </c>
      <c r="F16">
        <v>5300</v>
      </c>
      <c r="G16">
        <v>4</v>
      </c>
      <c r="H16" s="1" t="s">
        <v>124</v>
      </c>
      <c r="I16" s="1" t="s">
        <v>13</v>
      </c>
      <c r="J16" s="1" t="s">
        <v>7</v>
      </c>
    </row>
    <row r="17" spans="1:10" x14ac:dyDescent="0.3">
      <c r="A17" s="1" t="s">
        <v>29</v>
      </c>
      <c r="B17" s="1" t="s">
        <v>121</v>
      </c>
      <c r="C17" s="2">
        <v>46198</v>
      </c>
      <c r="D17">
        <v>4</v>
      </c>
      <c r="E17" s="2">
        <v>46201</v>
      </c>
      <c r="F17">
        <v>1210</v>
      </c>
      <c r="G17">
        <v>3</v>
      </c>
      <c r="H17" s="1" t="s">
        <v>122</v>
      </c>
      <c r="I17" s="1" t="s">
        <v>16</v>
      </c>
      <c r="J17" s="1" t="s">
        <v>18</v>
      </c>
    </row>
    <row r="18" spans="1:10" x14ac:dyDescent="0.3">
      <c r="A18" s="1" t="s">
        <v>30</v>
      </c>
      <c r="B18" s="1" t="s">
        <v>123</v>
      </c>
      <c r="C18" s="2">
        <v>46198</v>
      </c>
      <c r="D18">
        <v>5</v>
      </c>
      <c r="E18" s="2">
        <v>46205</v>
      </c>
      <c r="F18">
        <v>3450</v>
      </c>
      <c r="G18">
        <v>7</v>
      </c>
      <c r="H18" s="1" t="s">
        <v>124</v>
      </c>
      <c r="I18" s="1" t="s">
        <v>6</v>
      </c>
      <c r="J18" s="1" t="s">
        <v>11</v>
      </c>
    </row>
    <row r="19" spans="1:10" x14ac:dyDescent="0.3">
      <c r="A19" s="1" t="s">
        <v>31</v>
      </c>
      <c r="B19" s="1" t="s">
        <v>125</v>
      </c>
      <c r="C19" s="2">
        <v>46199</v>
      </c>
      <c r="D19">
        <v>2</v>
      </c>
      <c r="E19" s="2">
        <v>46200</v>
      </c>
      <c r="F19">
        <v>4900</v>
      </c>
      <c r="G19">
        <v>1</v>
      </c>
      <c r="H19" s="1" t="s">
        <v>122</v>
      </c>
      <c r="I19" s="1" t="s">
        <v>10</v>
      </c>
      <c r="J19" s="1" t="s">
        <v>7</v>
      </c>
    </row>
    <row r="20" spans="1:10" x14ac:dyDescent="0.3">
      <c r="A20" s="1" t="s">
        <v>32</v>
      </c>
      <c r="B20" s="1" t="s">
        <v>121</v>
      </c>
      <c r="C20" s="2">
        <v>46200</v>
      </c>
      <c r="D20">
        <v>3</v>
      </c>
      <c r="E20" s="2">
        <v>46203</v>
      </c>
      <c r="F20">
        <v>1380</v>
      </c>
      <c r="G20">
        <v>3</v>
      </c>
      <c r="H20" s="1" t="s">
        <v>122</v>
      </c>
      <c r="I20" s="1" t="s">
        <v>13</v>
      </c>
      <c r="J20" s="1" t="s">
        <v>18</v>
      </c>
    </row>
    <row r="21" spans="1:10" x14ac:dyDescent="0.3">
      <c r="A21" s="1" t="s">
        <v>33</v>
      </c>
      <c r="B21" s="1" t="s">
        <v>123</v>
      </c>
      <c r="C21" s="2">
        <v>46200</v>
      </c>
      <c r="D21">
        <v>4</v>
      </c>
      <c r="E21" s="2">
        <v>46206</v>
      </c>
      <c r="F21">
        <v>2950</v>
      </c>
      <c r="G21">
        <v>6</v>
      </c>
      <c r="H21" s="1" t="s">
        <v>124</v>
      </c>
      <c r="I21" s="1" t="s">
        <v>16</v>
      </c>
      <c r="J21" s="1" t="s">
        <v>11</v>
      </c>
    </row>
    <row r="22" spans="1:10" x14ac:dyDescent="0.3">
      <c r="A22" s="1" t="s">
        <v>34</v>
      </c>
      <c r="B22" s="1" t="s">
        <v>125</v>
      </c>
      <c r="C22" s="2">
        <v>46201</v>
      </c>
      <c r="D22">
        <v>3</v>
      </c>
      <c r="E22" s="2">
        <v>46203</v>
      </c>
      <c r="F22">
        <v>4250</v>
      </c>
      <c r="G22">
        <v>2</v>
      </c>
      <c r="H22" s="1" t="s">
        <v>122</v>
      </c>
      <c r="I22" s="1" t="s">
        <v>6</v>
      </c>
      <c r="J22" s="1" t="s">
        <v>7</v>
      </c>
    </row>
    <row r="23" spans="1:10" x14ac:dyDescent="0.3">
      <c r="A23" s="1" t="s">
        <v>35</v>
      </c>
      <c r="B23" s="1" t="s">
        <v>121</v>
      </c>
      <c r="C23" s="2">
        <v>46202</v>
      </c>
      <c r="D23">
        <v>5</v>
      </c>
      <c r="E23" s="2">
        <v>46206</v>
      </c>
      <c r="F23">
        <v>1720</v>
      </c>
      <c r="G23">
        <v>4</v>
      </c>
      <c r="H23" s="1" t="s">
        <v>122</v>
      </c>
      <c r="I23" s="1" t="s">
        <v>10</v>
      </c>
      <c r="J23" s="1" t="s">
        <v>18</v>
      </c>
    </row>
    <row r="24" spans="1:10" x14ac:dyDescent="0.3">
      <c r="A24" s="1" t="s">
        <v>36</v>
      </c>
      <c r="B24" s="1" t="s">
        <v>123</v>
      </c>
      <c r="C24" s="2">
        <v>46202</v>
      </c>
      <c r="D24">
        <v>2</v>
      </c>
      <c r="E24" s="2">
        <v>46205</v>
      </c>
      <c r="F24">
        <v>2150</v>
      </c>
      <c r="G24">
        <v>3</v>
      </c>
      <c r="H24" s="1" t="s">
        <v>124</v>
      </c>
      <c r="I24" s="1" t="s">
        <v>13</v>
      </c>
      <c r="J24" s="1" t="s">
        <v>11</v>
      </c>
    </row>
    <row r="25" spans="1:10" x14ac:dyDescent="0.3">
      <c r="A25" s="1" t="s">
        <v>37</v>
      </c>
      <c r="B25" s="1" t="s">
        <v>125</v>
      </c>
      <c r="C25" s="2">
        <v>46203</v>
      </c>
      <c r="D25">
        <v>4</v>
      </c>
      <c r="E25" s="2">
        <v>46206</v>
      </c>
      <c r="F25">
        <v>3800</v>
      </c>
      <c r="G25">
        <v>3</v>
      </c>
      <c r="H25" s="1" t="s">
        <v>122</v>
      </c>
      <c r="I25" s="1" t="s">
        <v>16</v>
      </c>
      <c r="J25" s="1" t="s">
        <v>7</v>
      </c>
    </row>
    <row r="26" spans="1:10" x14ac:dyDescent="0.3">
      <c r="A26" s="1" t="s">
        <v>38</v>
      </c>
      <c r="B26" s="1" t="s">
        <v>121</v>
      </c>
      <c r="C26" s="2">
        <v>46204</v>
      </c>
      <c r="D26">
        <v>3</v>
      </c>
      <c r="E26" s="2">
        <v>46207</v>
      </c>
      <c r="F26">
        <v>1490</v>
      </c>
      <c r="G26">
        <v>3</v>
      </c>
      <c r="H26" s="1" t="s">
        <v>122</v>
      </c>
      <c r="I26" s="1" t="s">
        <v>6</v>
      </c>
      <c r="J26" s="1" t="s">
        <v>18</v>
      </c>
    </row>
    <row r="27" spans="1:10" x14ac:dyDescent="0.3">
      <c r="A27" s="1" t="s">
        <v>39</v>
      </c>
      <c r="B27" s="1" t="s">
        <v>123</v>
      </c>
      <c r="C27" s="2">
        <v>46204</v>
      </c>
      <c r="D27">
        <v>5</v>
      </c>
      <c r="E27" s="2">
        <v>46208</v>
      </c>
      <c r="F27">
        <v>3300</v>
      </c>
      <c r="G27">
        <v>4</v>
      </c>
      <c r="H27" s="1" t="s">
        <v>122</v>
      </c>
      <c r="I27" s="1" t="s">
        <v>10</v>
      </c>
      <c r="J27" s="1" t="s">
        <v>11</v>
      </c>
    </row>
    <row r="28" spans="1:10" x14ac:dyDescent="0.3">
      <c r="A28" s="1" t="s">
        <v>40</v>
      </c>
      <c r="B28" s="1" t="s">
        <v>125</v>
      </c>
      <c r="C28" s="2">
        <v>46205</v>
      </c>
      <c r="D28">
        <v>2</v>
      </c>
      <c r="E28" s="2">
        <v>46209</v>
      </c>
      <c r="F28">
        <v>5200</v>
      </c>
      <c r="G28">
        <v>4</v>
      </c>
      <c r="H28" s="1" t="s">
        <v>124</v>
      </c>
      <c r="I28" s="1" t="s">
        <v>13</v>
      </c>
      <c r="J28" s="1" t="s">
        <v>7</v>
      </c>
    </row>
    <row r="29" spans="1:10" x14ac:dyDescent="0.3">
      <c r="A29" s="1" t="s">
        <v>41</v>
      </c>
      <c r="B29" s="1" t="s">
        <v>121</v>
      </c>
      <c r="C29" s="2">
        <v>46205</v>
      </c>
      <c r="D29">
        <v>4</v>
      </c>
      <c r="E29" s="2">
        <v>46208</v>
      </c>
      <c r="F29">
        <v>1260</v>
      </c>
      <c r="G29">
        <v>3</v>
      </c>
      <c r="H29" s="1" t="s">
        <v>122</v>
      </c>
      <c r="I29" s="1" t="s">
        <v>16</v>
      </c>
      <c r="J29" s="1" t="s">
        <v>18</v>
      </c>
    </row>
    <row r="30" spans="1:10" x14ac:dyDescent="0.3">
      <c r="A30" s="1" t="s">
        <v>42</v>
      </c>
      <c r="B30" s="1" t="s">
        <v>123</v>
      </c>
      <c r="C30" s="2">
        <v>46206</v>
      </c>
      <c r="D30">
        <v>3</v>
      </c>
      <c r="E30" s="2">
        <v>46210</v>
      </c>
      <c r="F30">
        <v>2250</v>
      </c>
      <c r="G30">
        <v>4</v>
      </c>
      <c r="H30" s="1" t="s">
        <v>124</v>
      </c>
      <c r="I30" s="1" t="s">
        <v>6</v>
      </c>
      <c r="J30" s="1" t="s">
        <v>11</v>
      </c>
    </row>
    <row r="31" spans="1:10" x14ac:dyDescent="0.3">
      <c r="A31" s="1" t="s">
        <v>43</v>
      </c>
      <c r="B31" s="1" t="s">
        <v>125</v>
      </c>
      <c r="C31" s="2">
        <v>46207</v>
      </c>
      <c r="D31">
        <v>2</v>
      </c>
      <c r="E31" s="2">
        <v>46208</v>
      </c>
      <c r="F31">
        <v>4850</v>
      </c>
      <c r="G31">
        <v>1</v>
      </c>
      <c r="H31" s="1" t="s">
        <v>122</v>
      </c>
      <c r="I31" s="1" t="s">
        <v>10</v>
      </c>
      <c r="J31" s="1" t="s">
        <v>7</v>
      </c>
    </row>
    <row r="32" spans="1:10" x14ac:dyDescent="0.3">
      <c r="A32" s="1" t="s">
        <v>44</v>
      </c>
      <c r="B32" s="1" t="s">
        <v>121</v>
      </c>
      <c r="C32" s="2">
        <v>46208</v>
      </c>
      <c r="D32">
        <v>5</v>
      </c>
      <c r="E32" s="2">
        <v>46212</v>
      </c>
      <c r="F32">
        <v>1800</v>
      </c>
      <c r="G32">
        <v>4</v>
      </c>
      <c r="H32" s="1" t="s">
        <v>122</v>
      </c>
      <c r="I32" s="1" t="s">
        <v>13</v>
      </c>
      <c r="J32" s="1" t="s">
        <v>18</v>
      </c>
    </row>
    <row r="33" spans="1:10" x14ac:dyDescent="0.3">
      <c r="A33" s="1" t="s">
        <v>45</v>
      </c>
      <c r="B33" s="1" t="s">
        <v>123</v>
      </c>
      <c r="C33" s="2">
        <v>46208</v>
      </c>
      <c r="D33">
        <v>4</v>
      </c>
      <c r="E33" s="2">
        <v>46213</v>
      </c>
      <c r="F33">
        <v>3100</v>
      </c>
      <c r="G33">
        <v>5</v>
      </c>
      <c r="H33" s="1" t="s">
        <v>124</v>
      </c>
      <c r="I33" s="1" t="s">
        <v>16</v>
      </c>
      <c r="J33" s="1" t="s">
        <v>11</v>
      </c>
    </row>
    <row r="34" spans="1:10" x14ac:dyDescent="0.3">
      <c r="A34" s="1" t="s">
        <v>46</v>
      </c>
      <c r="B34" s="1" t="s">
        <v>125</v>
      </c>
      <c r="C34" s="2">
        <v>46209</v>
      </c>
      <c r="D34">
        <v>3</v>
      </c>
      <c r="E34" s="2">
        <v>46211</v>
      </c>
      <c r="F34">
        <v>4150</v>
      </c>
      <c r="G34">
        <v>2</v>
      </c>
      <c r="H34" s="1" t="s">
        <v>122</v>
      </c>
      <c r="I34" s="1" t="s">
        <v>6</v>
      </c>
      <c r="J34" s="1" t="s">
        <v>7</v>
      </c>
    </row>
    <row r="35" spans="1:10" x14ac:dyDescent="0.3">
      <c r="A35" s="1" t="s">
        <v>47</v>
      </c>
      <c r="B35" s="1" t="s">
        <v>121</v>
      </c>
      <c r="C35" s="2">
        <v>46209</v>
      </c>
      <c r="D35">
        <v>2</v>
      </c>
      <c r="E35" s="2">
        <v>46212</v>
      </c>
      <c r="F35">
        <v>1390</v>
      </c>
      <c r="G35">
        <v>3</v>
      </c>
      <c r="H35" s="1" t="s">
        <v>124</v>
      </c>
      <c r="I35" s="1" t="s">
        <v>10</v>
      </c>
      <c r="J35" s="1" t="s">
        <v>18</v>
      </c>
    </row>
    <row r="36" spans="1:10" x14ac:dyDescent="0.3">
      <c r="A36" s="1" t="s">
        <v>48</v>
      </c>
      <c r="B36" s="1" t="s">
        <v>123</v>
      </c>
      <c r="C36" s="2">
        <v>46210</v>
      </c>
      <c r="D36">
        <v>5</v>
      </c>
      <c r="E36" s="2">
        <v>46214</v>
      </c>
      <c r="F36">
        <v>3400</v>
      </c>
      <c r="G36">
        <v>4</v>
      </c>
      <c r="H36" s="1" t="s">
        <v>122</v>
      </c>
      <c r="I36" s="1" t="s">
        <v>13</v>
      </c>
      <c r="J36" s="1" t="s">
        <v>11</v>
      </c>
    </row>
    <row r="37" spans="1:10" x14ac:dyDescent="0.3">
      <c r="A37" s="1" t="s">
        <v>49</v>
      </c>
      <c r="B37" s="1" t="s">
        <v>125</v>
      </c>
      <c r="C37" s="2">
        <v>46211</v>
      </c>
      <c r="D37">
        <v>4</v>
      </c>
      <c r="E37" s="2">
        <v>46214</v>
      </c>
      <c r="F37">
        <v>3950</v>
      </c>
      <c r="G37">
        <v>3</v>
      </c>
      <c r="H37" s="1" t="s">
        <v>122</v>
      </c>
      <c r="I37" s="1" t="s">
        <v>16</v>
      </c>
      <c r="J37" s="1" t="s">
        <v>7</v>
      </c>
    </row>
    <row r="38" spans="1:10" x14ac:dyDescent="0.3">
      <c r="A38" s="1" t="s">
        <v>50</v>
      </c>
      <c r="B38" s="1" t="s">
        <v>121</v>
      </c>
      <c r="C38" s="2">
        <v>46211</v>
      </c>
      <c r="D38">
        <v>3</v>
      </c>
      <c r="E38" s="2">
        <v>46215</v>
      </c>
      <c r="F38">
        <v>1420</v>
      </c>
      <c r="G38">
        <v>4</v>
      </c>
      <c r="H38" s="1" t="s">
        <v>124</v>
      </c>
      <c r="I38" s="1" t="s">
        <v>6</v>
      </c>
      <c r="J38" s="1" t="s">
        <v>18</v>
      </c>
    </row>
    <row r="39" spans="1:10" x14ac:dyDescent="0.3">
      <c r="A39" s="1" t="s">
        <v>51</v>
      </c>
      <c r="B39" s="1" t="s">
        <v>123</v>
      </c>
      <c r="C39" s="2">
        <v>46212</v>
      </c>
      <c r="D39">
        <v>2</v>
      </c>
      <c r="E39" s="2">
        <v>46216</v>
      </c>
      <c r="F39">
        <v>2300</v>
      </c>
      <c r="G39">
        <v>4</v>
      </c>
      <c r="H39" s="1" t="s">
        <v>124</v>
      </c>
      <c r="I39" s="1" t="s">
        <v>10</v>
      </c>
      <c r="J39" s="1" t="s">
        <v>11</v>
      </c>
    </row>
    <row r="40" spans="1:10" x14ac:dyDescent="0.3">
      <c r="A40" s="1" t="s">
        <v>52</v>
      </c>
      <c r="B40" s="1" t="s">
        <v>125</v>
      </c>
      <c r="C40" s="2">
        <v>46213</v>
      </c>
      <c r="D40">
        <v>5</v>
      </c>
      <c r="E40" s="2">
        <v>46215</v>
      </c>
      <c r="F40">
        <v>5600</v>
      </c>
      <c r="G40">
        <v>2</v>
      </c>
      <c r="H40" s="1" t="s">
        <v>122</v>
      </c>
      <c r="I40" s="1" t="s">
        <v>13</v>
      </c>
      <c r="J40" s="1" t="s">
        <v>7</v>
      </c>
    </row>
    <row r="41" spans="1:10" x14ac:dyDescent="0.3">
      <c r="A41" s="1" t="s">
        <v>53</v>
      </c>
      <c r="B41" s="1" t="s">
        <v>121</v>
      </c>
      <c r="C41" s="2">
        <v>46213</v>
      </c>
      <c r="D41">
        <v>4</v>
      </c>
      <c r="E41" s="2">
        <v>46218</v>
      </c>
      <c r="F41">
        <v>1550</v>
      </c>
      <c r="G41">
        <v>5</v>
      </c>
      <c r="H41" s="1" t="s">
        <v>124</v>
      </c>
      <c r="I41" s="1" t="s">
        <v>16</v>
      </c>
      <c r="J41" s="1" t="s">
        <v>18</v>
      </c>
    </row>
    <row r="42" spans="1:10" x14ac:dyDescent="0.3">
      <c r="A42" s="1" t="s">
        <v>54</v>
      </c>
      <c r="B42" s="1" t="s">
        <v>123</v>
      </c>
      <c r="C42" s="2">
        <v>46214</v>
      </c>
      <c r="D42">
        <v>3</v>
      </c>
      <c r="E42" s="2">
        <v>46216</v>
      </c>
      <c r="F42">
        <v>2180</v>
      </c>
      <c r="G42">
        <v>2</v>
      </c>
      <c r="H42" s="1" t="s">
        <v>122</v>
      </c>
      <c r="I42" s="1" t="s">
        <v>6</v>
      </c>
      <c r="J42" s="1" t="s">
        <v>11</v>
      </c>
    </row>
    <row r="43" spans="1:10" x14ac:dyDescent="0.3">
      <c r="A43" s="1" t="s">
        <v>55</v>
      </c>
      <c r="B43" s="1" t="s">
        <v>125</v>
      </c>
      <c r="C43" s="2">
        <v>46215</v>
      </c>
      <c r="D43">
        <v>2</v>
      </c>
      <c r="E43" s="2">
        <v>46219</v>
      </c>
      <c r="F43">
        <v>5050</v>
      </c>
      <c r="G43">
        <v>4</v>
      </c>
      <c r="H43" s="1" t="s">
        <v>124</v>
      </c>
      <c r="I43" s="1" t="s">
        <v>10</v>
      </c>
      <c r="J43" s="1" t="s">
        <v>7</v>
      </c>
    </row>
    <row r="44" spans="1:10" x14ac:dyDescent="0.3">
      <c r="A44" s="1" t="s">
        <v>56</v>
      </c>
      <c r="B44" s="1" t="s">
        <v>121</v>
      </c>
      <c r="C44" s="2">
        <v>46216</v>
      </c>
      <c r="D44">
        <v>5</v>
      </c>
      <c r="E44" s="2">
        <v>46220</v>
      </c>
      <c r="F44">
        <v>1790</v>
      </c>
      <c r="G44">
        <v>4</v>
      </c>
      <c r="H44" s="1" t="s">
        <v>122</v>
      </c>
      <c r="I44" s="1" t="s">
        <v>13</v>
      </c>
      <c r="J44" s="1" t="s">
        <v>18</v>
      </c>
    </row>
    <row r="45" spans="1:10" x14ac:dyDescent="0.3">
      <c r="A45" s="1" t="s">
        <v>57</v>
      </c>
      <c r="B45" s="1" t="s">
        <v>123</v>
      </c>
      <c r="C45" s="2">
        <v>46216</v>
      </c>
      <c r="D45">
        <v>4</v>
      </c>
      <c r="E45" s="2">
        <v>46222</v>
      </c>
      <c r="F45">
        <v>3250</v>
      </c>
      <c r="G45">
        <v>6</v>
      </c>
      <c r="H45" s="1" t="s">
        <v>124</v>
      </c>
      <c r="I45" s="1" t="s">
        <v>16</v>
      </c>
      <c r="J45" s="1" t="s">
        <v>11</v>
      </c>
    </row>
    <row r="46" spans="1:10" x14ac:dyDescent="0.3">
      <c r="A46" s="1" t="s">
        <v>58</v>
      </c>
      <c r="B46" s="1" t="s">
        <v>125</v>
      </c>
      <c r="C46" s="2">
        <v>46217</v>
      </c>
      <c r="D46">
        <v>3</v>
      </c>
      <c r="E46" s="2">
        <v>46219</v>
      </c>
      <c r="F46">
        <v>4300</v>
      </c>
      <c r="G46">
        <v>2</v>
      </c>
      <c r="H46" s="1" t="s">
        <v>122</v>
      </c>
      <c r="I46" s="1" t="s">
        <v>6</v>
      </c>
      <c r="J46" s="1" t="s">
        <v>7</v>
      </c>
    </row>
    <row r="47" spans="1:10" x14ac:dyDescent="0.3">
      <c r="A47" s="1" t="s">
        <v>59</v>
      </c>
      <c r="B47" s="1" t="s">
        <v>121</v>
      </c>
      <c r="C47" s="2">
        <v>46217</v>
      </c>
      <c r="D47">
        <v>2</v>
      </c>
      <c r="E47" s="2">
        <v>46221</v>
      </c>
      <c r="F47">
        <v>1310</v>
      </c>
      <c r="G47">
        <v>4</v>
      </c>
      <c r="H47" s="1" t="s">
        <v>124</v>
      </c>
      <c r="I47" s="1" t="s">
        <v>10</v>
      </c>
      <c r="J47" s="1" t="s">
        <v>18</v>
      </c>
    </row>
    <row r="48" spans="1:10" x14ac:dyDescent="0.3">
      <c r="A48" s="1" t="s">
        <v>60</v>
      </c>
      <c r="B48" s="1" t="s">
        <v>123</v>
      </c>
      <c r="C48" s="2">
        <v>46218</v>
      </c>
      <c r="D48">
        <v>5</v>
      </c>
      <c r="E48" s="2">
        <v>46223</v>
      </c>
      <c r="F48">
        <v>3500</v>
      </c>
      <c r="G48">
        <v>5</v>
      </c>
      <c r="H48" s="1" t="s">
        <v>122</v>
      </c>
      <c r="I48" s="1" t="s">
        <v>13</v>
      </c>
      <c r="J48" s="1" t="s">
        <v>11</v>
      </c>
    </row>
    <row r="49" spans="1:10" x14ac:dyDescent="0.3">
      <c r="A49" s="1" t="s">
        <v>61</v>
      </c>
      <c r="B49" s="1" t="s">
        <v>125</v>
      </c>
      <c r="C49" s="2">
        <v>46219</v>
      </c>
      <c r="D49">
        <v>4</v>
      </c>
      <c r="E49" s="2">
        <v>46222</v>
      </c>
      <c r="F49">
        <v>3850</v>
      </c>
      <c r="G49">
        <v>3</v>
      </c>
      <c r="H49" s="1" t="s">
        <v>122</v>
      </c>
      <c r="I49" s="1" t="s">
        <v>16</v>
      </c>
      <c r="J49" s="1" t="s">
        <v>7</v>
      </c>
    </row>
    <row r="50" spans="1:10" x14ac:dyDescent="0.3">
      <c r="A50" s="1" t="s">
        <v>62</v>
      </c>
      <c r="B50" s="1" t="s">
        <v>121</v>
      </c>
      <c r="C50" s="2">
        <v>46219</v>
      </c>
      <c r="D50">
        <v>3</v>
      </c>
      <c r="E50" s="2">
        <v>46223</v>
      </c>
      <c r="F50">
        <v>1460</v>
      </c>
      <c r="G50">
        <v>4</v>
      </c>
      <c r="H50" s="1" t="s">
        <v>124</v>
      </c>
      <c r="I50" s="1" t="s">
        <v>6</v>
      </c>
      <c r="J50" s="1" t="s">
        <v>18</v>
      </c>
    </row>
    <row r="51" spans="1:10" x14ac:dyDescent="0.3">
      <c r="A51" s="1" t="s">
        <v>63</v>
      </c>
      <c r="B51" s="1" t="s">
        <v>123</v>
      </c>
      <c r="C51" s="2">
        <v>46220</v>
      </c>
      <c r="D51">
        <v>2</v>
      </c>
      <c r="E51" s="2">
        <v>46224</v>
      </c>
      <c r="F51">
        <v>2420</v>
      </c>
      <c r="G51">
        <v>4</v>
      </c>
      <c r="H51" s="1" t="s">
        <v>124</v>
      </c>
      <c r="I51" s="1" t="s">
        <v>10</v>
      </c>
      <c r="J51" s="1" t="s">
        <v>11</v>
      </c>
    </row>
    <row r="52" spans="1:10" x14ac:dyDescent="0.3">
      <c r="A52" s="1" t="s">
        <v>64</v>
      </c>
      <c r="B52" s="1" t="s">
        <v>125</v>
      </c>
      <c r="C52" s="2">
        <v>46221</v>
      </c>
      <c r="D52">
        <v>5</v>
      </c>
      <c r="E52" s="2">
        <v>46225</v>
      </c>
      <c r="F52">
        <v>5400</v>
      </c>
      <c r="G52">
        <v>4</v>
      </c>
      <c r="H52" s="1" t="s">
        <v>122</v>
      </c>
      <c r="I52" s="1" t="s">
        <v>13</v>
      </c>
      <c r="J52" s="1" t="s">
        <v>7</v>
      </c>
    </row>
    <row r="53" spans="1:10" x14ac:dyDescent="0.3">
      <c r="A53" s="1" t="s">
        <v>65</v>
      </c>
      <c r="B53" s="1" t="s">
        <v>121</v>
      </c>
      <c r="C53" s="2">
        <v>46221</v>
      </c>
      <c r="D53">
        <v>4</v>
      </c>
      <c r="E53" s="2">
        <v>46226</v>
      </c>
      <c r="F53">
        <v>1600</v>
      </c>
      <c r="G53">
        <v>5</v>
      </c>
      <c r="H53" s="1" t="s">
        <v>124</v>
      </c>
      <c r="I53" s="1" t="s">
        <v>16</v>
      </c>
      <c r="J53" s="1" t="s">
        <v>18</v>
      </c>
    </row>
    <row r="54" spans="1:10" x14ac:dyDescent="0.3">
      <c r="A54" s="1" t="s">
        <v>66</v>
      </c>
      <c r="B54" s="1" t="s">
        <v>123</v>
      </c>
      <c r="C54" s="2">
        <v>46222</v>
      </c>
      <c r="D54">
        <v>3</v>
      </c>
      <c r="E54" s="2">
        <v>46224</v>
      </c>
      <c r="F54">
        <v>2100</v>
      </c>
      <c r="G54">
        <v>2</v>
      </c>
      <c r="H54" s="1" t="s">
        <v>122</v>
      </c>
      <c r="I54" s="1" t="s">
        <v>6</v>
      </c>
      <c r="J54" s="1" t="s">
        <v>11</v>
      </c>
    </row>
    <row r="55" spans="1:10" x14ac:dyDescent="0.3">
      <c r="A55" s="1" t="s">
        <v>67</v>
      </c>
      <c r="B55" s="1" t="s">
        <v>125</v>
      </c>
      <c r="C55" s="2">
        <v>46223</v>
      </c>
      <c r="D55">
        <v>2</v>
      </c>
      <c r="E55" s="2">
        <v>46227</v>
      </c>
      <c r="F55">
        <v>5100</v>
      </c>
      <c r="G55">
        <v>4</v>
      </c>
      <c r="H55" s="1" t="s">
        <v>124</v>
      </c>
      <c r="I55" s="1" t="s">
        <v>10</v>
      </c>
      <c r="J55" s="1" t="s">
        <v>7</v>
      </c>
    </row>
    <row r="56" spans="1:10" x14ac:dyDescent="0.3">
      <c r="A56" s="1" t="s">
        <v>68</v>
      </c>
      <c r="B56" s="1" t="s">
        <v>121</v>
      </c>
      <c r="C56" s="2">
        <v>46224</v>
      </c>
      <c r="D56">
        <v>5</v>
      </c>
      <c r="E56" s="2">
        <v>46228</v>
      </c>
      <c r="F56">
        <v>1710</v>
      </c>
      <c r="G56">
        <v>4</v>
      </c>
      <c r="H56" s="1" t="s">
        <v>122</v>
      </c>
      <c r="I56" s="1" t="s">
        <v>13</v>
      </c>
      <c r="J56" s="1" t="s">
        <v>18</v>
      </c>
    </row>
    <row r="57" spans="1:10" x14ac:dyDescent="0.3">
      <c r="A57" s="1" t="s">
        <v>69</v>
      </c>
      <c r="B57" s="1" t="s">
        <v>123</v>
      </c>
      <c r="C57" s="2">
        <v>46224</v>
      </c>
      <c r="D57">
        <v>4</v>
      </c>
      <c r="E57" s="2">
        <v>46230</v>
      </c>
      <c r="F57">
        <v>3180</v>
      </c>
      <c r="G57">
        <v>6</v>
      </c>
      <c r="H57" s="1" t="s">
        <v>124</v>
      </c>
      <c r="I57" s="1" t="s">
        <v>16</v>
      </c>
      <c r="J57" s="1" t="s">
        <v>11</v>
      </c>
    </row>
    <row r="58" spans="1:10" x14ac:dyDescent="0.3">
      <c r="A58" s="1" t="s">
        <v>70</v>
      </c>
      <c r="B58" s="1" t="s">
        <v>125</v>
      </c>
      <c r="C58" s="2">
        <v>46225</v>
      </c>
      <c r="D58">
        <v>3</v>
      </c>
      <c r="E58" s="2">
        <v>46227</v>
      </c>
      <c r="F58">
        <v>4400</v>
      </c>
      <c r="G58">
        <v>2</v>
      </c>
      <c r="H58" s="1" t="s">
        <v>122</v>
      </c>
      <c r="I58" s="1" t="s">
        <v>6</v>
      </c>
      <c r="J58" s="1" t="s">
        <v>7</v>
      </c>
    </row>
    <row r="59" spans="1:10" x14ac:dyDescent="0.3">
      <c r="A59" s="1" t="s">
        <v>71</v>
      </c>
      <c r="B59" s="1" t="s">
        <v>121</v>
      </c>
      <c r="C59" s="2">
        <v>46225</v>
      </c>
      <c r="D59">
        <v>2</v>
      </c>
      <c r="E59" s="2">
        <v>46229</v>
      </c>
      <c r="F59">
        <v>1350</v>
      </c>
      <c r="G59">
        <v>4</v>
      </c>
      <c r="H59" s="1" t="s">
        <v>124</v>
      </c>
      <c r="I59" s="1" t="s">
        <v>10</v>
      </c>
      <c r="J59" s="1" t="s">
        <v>18</v>
      </c>
    </row>
    <row r="60" spans="1:10" x14ac:dyDescent="0.3">
      <c r="A60" s="1" t="s">
        <v>72</v>
      </c>
      <c r="B60" s="1" t="s">
        <v>123</v>
      </c>
      <c r="C60" s="2">
        <v>46226</v>
      </c>
      <c r="D60">
        <v>5</v>
      </c>
      <c r="E60" s="2">
        <v>46231</v>
      </c>
      <c r="F60">
        <v>3350</v>
      </c>
      <c r="G60">
        <v>5</v>
      </c>
      <c r="H60" s="1" t="s">
        <v>122</v>
      </c>
      <c r="I60" s="1" t="s">
        <v>13</v>
      </c>
      <c r="J60" s="1" t="s">
        <v>11</v>
      </c>
    </row>
    <row r="61" spans="1:10" x14ac:dyDescent="0.3">
      <c r="A61" s="1" t="s">
        <v>73</v>
      </c>
      <c r="B61" s="1" t="s">
        <v>125</v>
      </c>
      <c r="C61" s="2">
        <v>46227</v>
      </c>
      <c r="D61">
        <v>4</v>
      </c>
      <c r="E61" s="2">
        <v>46230</v>
      </c>
      <c r="F61">
        <v>3750</v>
      </c>
      <c r="G61">
        <v>3</v>
      </c>
      <c r="H61" s="1" t="s">
        <v>122</v>
      </c>
      <c r="I61" s="1" t="s">
        <v>16</v>
      </c>
      <c r="J61" s="1" t="s">
        <v>7</v>
      </c>
    </row>
    <row r="62" spans="1:10" x14ac:dyDescent="0.3">
      <c r="A62" s="1" t="s">
        <v>74</v>
      </c>
      <c r="B62" s="1" t="s">
        <v>121</v>
      </c>
      <c r="C62" s="2">
        <v>46227</v>
      </c>
      <c r="D62">
        <v>3</v>
      </c>
      <c r="E62" s="2">
        <v>46231</v>
      </c>
      <c r="F62">
        <v>1480</v>
      </c>
      <c r="G62">
        <v>4</v>
      </c>
      <c r="H62" s="1" t="s">
        <v>124</v>
      </c>
      <c r="I62" s="1" t="s">
        <v>6</v>
      </c>
      <c r="J62" s="1" t="s">
        <v>18</v>
      </c>
    </row>
    <row r="63" spans="1:10" x14ac:dyDescent="0.3">
      <c r="A63" s="1" t="s">
        <v>75</v>
      </c>
      <c r="B63" s="1" t="s">
        <v>123</v>
      </c>
      <c r="C63" s="2">
        <v>46228</v>
      </c>
      <c r="D63">
        <v>2</v>
      </c>
      <c r="E63" s="2">
        <v>46232</v>
      </c>
      <c r="F63">
        <v>2380</v>
      </c>
      <c r="G63">
        <v>4</v>
      </c>
      <c r="H63" s="1" t="s">
        <v>124</v>
      </c>
      <c r="I63" s="1" t="s">
        <v>10</v>
      </c>
      <c r="J63" s="1" t="s">
        <v>11</v>
      </c>
    </row>
    <row r="64" spans="1:10" x14ac:dyDescent="0.3">
      <c r="A64" s="1" t="s">
        <v>76</v>
      </c>
      <c r="B64" s="1" t="s">
        <v>125</v>
      </c>
      <c r="C64" s="2">
        <v>46229</v>
      </c>
      <c r="D64">
        <v>5</v>
      </c>
      <c r="E64" s="2">
        <v>46232</v>
      </c>
      <c r="F64">
        <v>5550</v>
      </c>
      <c r="G64">
        <v>3</v>
      </c>
      <c r="H64" s="1" t="s">
        <v>122</v>
      </c>
      <c r="I64" s="1" t="s">
        <v>13</v>
      </c>
      <c r="J64" s="1" t="s">
        <v>7</v>
      </c>
    </row>
    <row r="65" spans="1:10" x14ac:dyDescent="0.3">
      <c r="A65" s="1" t="s">
        <v>77</v>
      </c>
      <c r="B65" s="1" t="s">
        <v>121</v>
      </c>
      <c r="C65" s="2">
        <v>46229</v>
      </c>
      <c r="D65">
        <v>4</v>
      </c>
      <c r="E65" s="2">
        <v>46234</v>
      </c>
      <c r="F65">
        <v>1580</v>
      </c>
      <c r="G65">
        <v>5</v>
      </c>
      <c r="H65" s="1" t="s">
        <v>124</v>
      </c>
      <c r="I65" s="1" t="s">
        <v>16</v>
      </c>
      <c r="J65" s="1" t="s">
        <v>18</v>
      </c>
    </row>
    <row r="66" spans="1:10" x14ac:dyDescent="0.3">
      <c r="A66" s="1" t="s">
        <v>78</v>
      </c>
      <c r="B66" s="1" t="s">
        <v>123</v>
      </c>
      <c r="C66" s="2">
        <v>46230</v>
      </c>
      <c r="D66">
        <v>3</v>
      </c>
      <c r="E66" s="2">
        <v>46232</v>
      </c>
      <c r="F66">
        <v>2200</v>
      </c>
      <c r="G66">
        <v>2</v>
      </c>
      <c r="H66" s="1" t="s">
        <v>122</v>
      </c>
      <c r="I66" s="1" t="s">
        <v>6</v>
      </c>
      <c r="J66" s="1" t="s">
        <v>11</v>
      </c>
    </row>
    <row r="67" spans="1:10" x14ac:dyDescent="0.3">
      <c r="A67" s="1" t="s">
        <v>79</v>
      </c>
      <c r="B67" s="1" t="s">
        <v>125</v>
      </c>
      <c r="C67" s="2">
        <v>46231</v>
      </c>
      <c r="D67">
        <v>2</v>
      </c>
      <c r="E67" s="2">
        <v>46235</v>
      </c>
      <c r="F67">
        <v>5250</v>
      </c>
      <c r="G67">
        <v>4</v>
      </c>
      <c r="H67" s="1" t="s">
        <v>124</v>
      </c>
      <c r="I67" s="1" t="s">
        <v>10</v>
      </c>
      <c r="J67" s="1" t="s">
        <v>7</v>
      </c>
    </row>
    <row r="68" spans="1:10" x14ac:dyDescent="0.3">
      <c r="A68" s="1" t="s">
        <v>80</v>
      </c>
      <c r="B68" s="1" t="s">
        <v>121</v>
      </c>
      <c r="C68" s="2">
        <v>46232</v>
      </c>
      <c r="D68">
        <v>5</v>
      </c>
      <c r="E68" s="2">
        <v>46236</v>
      </c>
      <c r="F68">
        <v>1750</v>
      </c>
      <c r="G68">
        <v>4</v>
      </c>
      <c r="H68" s="1" t="s">
        <v>122</v>
      </c>
      <c r="I68" s="1" t="s">
        <v>13</v>
      </c>
      <c r="J68" s="1" t="s">
        <v>18</v>
      </c>
    </row>
    <row r="69" spans="1:10" x14ac:dyDescent="0.3">
      <c r="A69" s="1" t="s">
        <v>81</v>
      </c>
      <c r="B69" s="1" t="s">
        <v>123</v>
      </c>
      <c r="C69" s="2">
        <v>46232</v>
      </c>
      <c r="D69">
        <v>4</v>
      </c>
      <c r="E69" s="2">
        <v>46238</v>
      </c>
      <c r="F69">
        <v>3220</v>
      </c>
      <c r="G69">
        <v>6</v>
      </c>
      <c r="H69" s="1" t="s">
        <v>124</v>
      </c>
      <c r="I69" s="1" t="s">
        <v>16</v>
      </c>
      <c r="J69" s="1" t="s">
        <v>11</v>
      </c>
    </row>
    <row r="70" spans="1:10" x14ac:dyDescent="0.3">
      <c r="A70" s="1" t="s">
        <v>82</v>
      </c>
      <c r="B70" s="1" t="s">
        <v>125</v>
      </c>
      <c r="C70" s="2">
        <v>46233</v>
      </c>
      <c r="D70">
        <v>3</v>
      </c>
      <c r="E70" s="2">
        <v>46235</v>
      </c>
      <c r="F70">
        <v>4450</v>
      </c>
      <c r="G70">
        <v>2</v>
      </c>
      <c r="H70" s="1" t="s">
        <v>122</v>
      </c>
      <c r="I70" s="1" t="s">
        <v>6</v>
      </c>
      <c r="J70" s="1" t="s">
        <v>7</v>
      </c>
    </row>
    <row r="71" spans="1:10" x14ac:dyDescent="0.3">
      <c r="A71" s="1" t="s">
        <v>83</v>
      </c>
      <c r="B71" s="1" t="s">
        <v>121</v>
      </c>
      <c r="C71" s="2">
        <v>46233</v>
      </c>
      <c r="D71">
        <v>2</v>
      </c>
      <c r="E71" s="2">
        <v>46237</v>
      </c>
      <c r="F71">
        <v>1400</v>
      </c>
      <c r="G71">
        <v>4</v>
      </c>
      <c r="H71" s="1" t="s">
        <v>124</v>
      </c>
      <c r="I71" s="1" t="s">
        <v>10</v>
      </c>
      <c r="J71" s="1" t="s">
        <v>18</v>
      </c>
    </row>
    <row r="72" spans="1:10" x14ac:dyDescent="0.3">
      <c r="A72" s="1" t="s">
        <v>84</v>
      </c>
      <c r="B72" s="1" t="s">
        <v>123</v>
      </c>
      <c r="C72" s="2">
        <v>46234</v>
      </c>
      <c r="D72">
        <v>5</v>
      </c>
      <c r="E72" s="2">
        <v>46239</v>
      </c>
      <c r="F72">
        <v>3420</v>
      </c>
      <c r="G72">
        <v>5</v>
      </c>
      <c r="H72" s="1" t="s">
        <v>122</v>
      </c>
      <c r="I72" s="1" t="s">
        <v>13</v>
      </c>
      <c r="J72" s="1" t="s">
        <v>11</v>
      </c>
    </row>
    <row r="73" spans="1:10" x14ac:dyDescent="0.3">
      <c r="A73" s="1" t="s">
        <v>85</v>
      </c>
      <c r="B73" s="1" t="s">
        <v>125</v>
      </c>
      <c r="C73" s="2">
        <v>46235</v>
      </c>
      <c r="D73">
        <v>4</v>
      </c>
      <c r="E73" s="2">
        <v>46238</v>
      </c>
      <c r="F73">
        <v>3880</v>
      </c>
      <c r="G73">
        <v>3</v>
      </c>
      <c r="H73" s="1" t="s">
        <v>122</v>
      </c>
      <c r="I73" s="1" t="s">
        <v>16</v>
      </c>
      <c r="J73" s="1" t="s">
        <v>7</v>
      </c>
    </row>
    <row r="74" spans="1:10" x14ac:dyDescent="0.3">
      <c r="A74" s="1" t="s">
        <v>86</v>
      </c>
      <c r="B74" s="1" t="s">
        <v>121</v>
      </c>
      <c r="C74" s="2">
        <v>46235</v>
      </c>
      <c r="D74">
        <v>3</v>
      </c>
      <c r="E74" s="2">
        <v>46239</v>
      </c>
      <c r="F74">
        <v>1510</v>
      </c>
      <c r="G74">
        <v>4</v>
      </c>
      <c r="H74" s="1" t="s">
        <v>124</v>
      </c>
      <c r="I74" s="1" t="s">
        <v>6</v>
      </c>
      <c r="J74" s="1" t="s">
        <v>18</v>
      </c>
    </row>
    <row r="75" spans="1:10" x14ac:dyDescent="0.3">
      <c r="A75" s="1" t="s">
        <v>87</v>
      </c>
      <c r="B75" s="1" t="s">
        <v>123</v>
      </c>
      <c r="C75" s="2">
        <v>46236</v>
      </c>
      <c r="D75">
        <v>2</v>
      </c>
      <c r="E75" s="2">
        <v>46240</v>
      </c>
      <c r="F75">
        <v>2450</v>
      </c>
      <c r="G75">
        <v>4</v>
      </c>
      <c r="H75" s="1" t="s">
        <v>124</v>
      </c>
      <c r="I75" s="1" t="s">
        <v>10</v>
      </c>
      <c r="J75" s="1" t="s">
        <v>11</v>
      </c>
    </row>
    <row r="76" spans="1:10" x14ac:dyDescent="0.3">
      <c r="A76" s="1" t="s">
        <v>88</v>
      </c>
      <c r="B76" s="1" t="s">
        <v>125</v>
      </c>
      <c r="C76" s="2">
        <v>46237</v>
      </c>
      <c r="D76">
        <v>5</v>
      </c>
      <c r="E76" s="2">
        <v>46240</v>
      </c>
      <c r="F76">
        <v>5700</v>
      </c>
      <c r="G76">
        <v>3</v>
      </c>
      <c r="H76" s="1" t="s">
        <v>122</v>
      </c>
      <c r="I76" s="1" t="s">
        <v>13</v>
      </c>
      <c r="J76" s="1" t="s">
        <v>7</v>
      </c>
    </row>
    <row r="77" spans="1:10" x14ac:dyDescent="0.3">
      <c r="A77" s="1" t="s">
        <v>89</v>
      </c>
      <c r="B77" s="1" t="s">
        <v>121</v>
      </c>
      <c r="C77" s="2">
        <v>46237</v>
      </c>
      <c r="D77">
        <v>4</v>
      </c>
      <c r="E77" s="2">
        <v>46242</v>
      </c>
      <c r="F77">
        <v>1620</v>
      </c>
      <c r="G77">
        <v>5</v>
      </c>
      <c r="H77" s="1" t="s">
        <v>124</v>
      </c>
      <c r="I77" s="1" t="s">
        <v>16</v>
      </c>
      <c r="J77" s="1" t="s">
        <v>18</v>
      </c>
    </row>
    <row r="78" spans="1:10" x14ac:dyDescent="0.3">
      <c r="A78" s="1" t="s">
        <v>90</v>
      </c>
      <c r="B78" s="1" t="s">
        <v>123</v>
      </c>
      <c r="C78" s="2">
        <v>46238</v>
      </c>
      <c r="D78">
        <v>3</v>
      </c>
      <c r="E78" s="2">
        <v>46240</v>
      </c>
      <c r="F78">
        <v>2140</v>
      </c>
      <c r="G78">
        <v>2</v>
      </c>
      <c r="H78" s="1" t="s">
        <v>122</v>
      </c>
      <c r="I78" s="1" t="s">
        <v>6</v>
      </c>
      <c r="J78" s="1" t="s">
        <v>11</v>
      </c>
    </row>
    <row r="79" spans="1:10" x14ac:dyDescent="0.3">
      <c r="A79" s="1" t="s">
        <v>91</v>
      </c>
      <c r="B79" s="1" t="s">
        <v>125</v>
      </c>
      <c r="C79" s="2">
        <v>46239</v>
      </c>
      <c r="D79">
        <v>2</v>
      </c>
      <c r="E79" s="2">
        <v>46243</v>
      </c>
      <c r="F79">
        <v>5180</v>
      </c>
      <c r="G79">
        <v>4</v>
      </c>
      <c r="H79" s="1" t="s">
        <v>124</v>
      </c>
      <c r="I79" s="1" t="s">
        <v>10</v>
      </c>
      <c r="J79" s="1" t="s">
        <v>7</v>
      </c>
    </row>
    <row r="80" spans="1:10" x14ac:dyDescent="0.3">
      <c r="A80" s="1" t="s">
        <v>92</v>
      </c>
      <c r="B80" s="1" t="s">
        <v>121</v>
      </c>
      <c r="C80" s="2">
        <v>46240</v>
      </c>
      <c r="D80">
        <v>5</v>
      </c>
      <c r="E80" s="2">
        <v>46244</v>
      </c>
      <c r="F80">
        <v>1780</v>
      </c>
      <c r="G80">
        <v>4</v>
      </c>
      <c r="H80" s="1" t="s">
        <v>122</v>
      </c>
      <c r="I80" s="1" t="s">
        <v>13</v>
      </c>
      <c r="J80" s="1" t="s">
        <v>18</v>
      </c>
    </row>
    <row r="81" spans="1:10" x14ac:dyDescent="0.3">
      <c r="A81" s="1" t="s">
        <v>93</v>
      </c>
      <c r="B81" s="1" t="s">
        <v>123</v>
      </c>
      <c r="C81" s="2">
        <v>46240</v>
      </c>
      <c r="D81">
        <v>4</v>
      </c>
      <c r="E81" s="2">
        <v>46246</v>
      </c>
      <c r="F81">
        <v>3290</v>
      </c>
      <c r="G81">
        <v>6</v>
      </c>
      <c r="H81" s="1" t="s">
        <v>124</v>
      </c>
      <c r="I81" s="1" t="s">
        <v>16</v>
      </c>
      <c r="J81" s="1" t="s">
        <v>11</v>
      </c>
    </row>
    <row r="82" spans="1:10" x14ac:dyDescent="0.3">
      <c r="A82" s="1" t="s">
        <v>94</v>
      </c>
      <c r="B82" s="1" t="s">
        <v>125</v>
      </c>
      <c r="C82" s="2">
        <v>46241</v>
      </c>
      <c r="D82">
        <v>3</v>
      </c>
      <c r="E82" s="2">
        <v>46243</v>
      </c>
      <c r="F82">
        <v>4520</v>
      </c>
      <c r="G82">
        <v>2</v>
      </c>
      <c r="H82" s="1" t="s">
        <v>122</v>
      </c>
      <c r="I82" s="1" t="s">
        <v>6</v>
      </c>
      <c r="J82" s="1" t="s">
        <v>7</v>
      </c>
    </row>
    <row r="83" spans="1:10" x14ac:dyDescent="0.3">
      <c r="A83" s="1" t="s">
        <v>95</v>
      </c>
      <c r="B83" s="1" t="s">
        <v>121</v>
      </c>
      <c r="C83" s="2">
        <v>46241</v>
      </c>
      <c r="D83">
        <v>2</v>
      </c>
      <c r="E83" s="2">
        <v>46245</v>
      </c>
      <c r="F83">
        <v>1430</v>
      </c>
      <c r="G83">
        <v>4</v>
      </c>
      <c r="H83" s="1" t="s">
        <v>124</v>
      </c>
      <c r="I83" s="1" t="s">
        <v>10</v>
      </c>
      <c r="J83" s="1" t="s">
        <v>18</v>
      </c>
    </row>
    <row r="84" spans="1:10" x14ac:dyDescent="0.3">
      <c r="A84" s="1" t="s">
        <v>96</v>
      </c>
      <c r="B84" s="1" t="s">
        <v>123</v>
      </c>
      <c r="C84" s="2">
        <v>46242</v>
      </c>
      <c r="D84">
        <v>5</v>
      </c>
      <c r="E84" s="2">
        <v>46247</v>
      </c>
      <c r="F84">
        <v>3480</v>
      </c>
      <c r="G84">
        <v>5</v>
      </c>
      <c r="H84" s="1" t="s">
        <v>122</v>
      </c>
      <c r="I84" s="1" t="s">
        <v>13</v>
      </c>
      <c r="J84" s="1" t="s">
        <v>11</v>
      </c>
    </row>
    <row r="85" spans="1:10" x14ac:dyDescent="0.3">
      <c r="A85" s="1" t="s">
        <v>97</v>
      </c>
      <c r="B85" s="1" t="s">
        <v>125</v>
      </c>
      <c r="C85" s="2">
        <v>46243</v>
      </c>
      <c r="D85">
        <v>4</v>
      </c>
      <c r="E85" s="2">
        <v>46246</v>
      </c>
      <c r="F85">
        <v>3900</v>
      </c>
      <c r="G85">
        <v>3</v>
      </c>
      <c r="H85" s="1" t="s">
        <v>122</v>
      </c>
      <c r="I85" s="1" t="s">
        <v>16</v>
      </c>
      <c r="J85" s="1" t="s">
        <v>7</v>
      </c>
    </row>
    <row r="86" spans="1:10" x14ac:dyDescent="0.3">
      <c r="A86" s="1" t="s">
        <v>98</v>
      </c>
      <c r="B86" s="1" t="s">
        <v>121</v>
      </c>
      <c r="C86" s="2">
        <v>46243</v>
      </c>
      <c r="D86">
        <v>3</v>
      </c>
      <c r="E86" s="2">
        <v>46247</v>
      </c>
      <c r="F86">
        <v>1530</v>
      </c>
      <c r="G86">
        <v>4</v>
      </c>
      <c r="H86" s="1" t="s">
        <v>124</v>
      </c>
      <c r="I86" s="1" t="s">
        <v>6</v>
      </c>
      <c r="J86" s="1" t="s">
        <v>18</v>
      </c>
    </row>
    <row r="87" spans="1:10" x14ac:dyDescent="0.3">
      <c r="A87" s="1" t="s">
        <v>99</v>
      </c>
      <c r="B87" s="1" t="s">
        <v>123</v>
      </c>
      <c r="C87" s="2">
        <v>46244</v>
      </c>
      <c r="D87">
        <v>2</v>
      </c>
      <c r="E87" s="2">
        <v>46248</v>
      </c>
      <c r="F87">
        <v>2480</v>
      </c>
      <c r="G87">
        <v>4</v>
      </c>
      <c r="H87" s="1" t="s">
        <v>124</v>
      </c>
      <c r="I87" s="1" t="s">
        <v>10</v>
      </c>
      <c r="J87" s="1" t="s">
        <v>11</v>
      </c>
    </row>
    <row r="88" spans="1:10" x14ac:dyDescent="0.3">
      <c r="A88" s="1" t="s">
        <v>100</v>
      </c>
      <c r="B88" s="1" t="s">
        <v>125</v>
      </c>
      <c r="C88" s="2">
        <v>46245</v>
      </c>
      <c r="D88">
        <v>5</v>
      </c>
      <c r="E88" s="2">
        <v>46248</v>
      </c>
      <c r="F88">
        <v>5800</v>
      </c>
      <c r="G88">
        <v>3</v>
      </c>
      <c r="H88" s="1" t="s">
        <v>122</v>
      </c>
      <c r="I88" s="1" t="s">
        <v>13</v>
      </c>
      <c r="J88" s="1" t="s">
        <v>7</v>
      </c>
    </row>
    <row r="89" spans="1:10" x14ac:dyDescent="0.3">
      <c r="A89" s="1" t="s">
        <v>101</v>
      </c>
      <c r="B89" s="1" t="s">
        <v>121</v>
      </c>
      <c r="C89" s="2">
        <v>46245</v>
      </c>
      <c r="D89">
        <v>4</v>
      </c>
      <c r="E89" s="2">
        <v>46250</v>
      </c>
      <c r="F89">
        <v>1660</v>
      </c>
      <c r="G89">
        <v>5</v>
      </c>
      <c r="H89" s="1" t="s">
        <v>124</v>
      </c>
      <c r="I89" s="1" t="s">
        <v>16</v>
      </c>
      <c r="J89" s="1" t="s">
        <v>18</v>
      </c>
    </row>
    <row r="90" spans="1:10" x14ac:dyDescent="0.3">
      <c r="A90" s="1" t="s">
        <v>102</v>
      </c>
      <c r="B90" s="1" t="s">
        <v>123</v>
      </c>
      <c r="C90" s="2">
        <v>46246</v>
      </c>
      <c r="D90">
        <v>3</v>
      </c>
      <c r="E90" s="2">
        <v>46248</v>
      </c>
      <c r="F90">
        <v>2190</v>
      </c>
      <c r="G90">
        <v>2</v>
      </c>
      <c r="H90" s="1" t="s">
        <v>122</v>
      </c>
      <c r="I90" s="1" t="s">
        <v>6</v>
      </c>
      <c r="J90" s="1" t="s">
        <v>11</v>
      </c>
    </row>
    <row r="91" spans="1:10" x14ac:dyDescent="0.3">
      <c r="A91" s="1" t="s">
        <v>103</v>
      </c>
      <c r="B91" s="1" t="s">
        <v>125</v>
      </c>
      <c r="C91" s="2">
        <v>46247</v>
      </c>
      <c r="D91">
        <v>2</v>
      </c>
      <c r="E91" s="2">
        <v>46251</v>
      </c>
      <c r="F91">
        <v>5220</v>
      </c>
      <c r="G91">
        <v>4</v>
      </c>
      <c r="H91" s="1" t="s">
        <v>124</v>
      </c>
      <c r="I91" s="1" t="s">
        <v>10</v>
      </c>
      <c r="J91" s="1" t="s">
        <v>7</v>
      </c>
    </row>
    <row r="92" spans="1:10" x14ac:dyDescent="0.3">
      <c r="A92" s="1" t="s">
        <v>104</v>
      </c>
      <c r="B92" s="1" t="s">
        <v>121</v>
      </c>
      <c r="C92" s="2">
        <v>46248</v>
      </c>
      <c r="D92">
        <v>5</v>
      </c>
      <c r="E92" s="2">
        <v>46252</v>
      </c>
      <c r="F92">
        <v>1810</v>
      </c>
      <c r="G92">
        <v>4</v>
      </c>
      <c r="H92" s="1" t="s">
        <v>122</v>
      </c>
      <c r="I92" s="1" t="s">
        <v>13</v>
      </c>
      <c r="J92" s="1" t="s">
        <v>18</v>
      </c>
    </row>
    <row r="93" spans="1:10" x14ac:dyDescent="0.3">
      <c r="A93" s="1" t="s">
        <v>105</v>
      </c>
      <c r="B93" s="1" t="s">
        <v>123</v>
      </c>
      <c r="C93" s="2">
        <v>46248</v>
      </c>
      <c r="D93">
        <v>4</v>
      </c>
      <c r="E93" s="2">
        <v>46254</v>
      </c>
      <c r="F93">
        <v>3320</v>
      </c>
      <c r="G93">
        <v>6</v>
      </c>
      <c r="H93" s="1" t="s">
        <v>124</v>
      </c>
      <c r="I93" s="1" t="s">
        <v>16</v>
      </c>
      <c r="J93" s="1" t="s">
        <v>11</v>
      </c>
    </row>
    <row r="94" spans="1:10" x14ac:dyDescent="0.3">
      <c r="A94" s="1" t="s">
        <v>106</v>
      </c>
      <c r="B94" s="1" t="s">
        <v>125</v>
      </c>
      <c r="C94" s="2">
        <v>46249</v>
      </c>
      <c r="D94">
        <v>3</v>
      </c>
      <c r="E94" s="2">
        <v>46251</v>
      </c>
      <c r="F94">
        <v>4600</v>
      </c>
      <c r="G94">
        <v>2</v>
      </c>
      <c r="H94" s="1" t="s">
        <v>122</v>
      </c>
      <c r="I94" s="1" t="s">
        <v>6</v>
      </c>
      <c r="J94" s="1" t="s">
        <v>7</v>
      </c>
    </row>
    <row r="95" spans="1:10" x14ac:dyDescent="0.3">
      <c r="A95" s="1" t="s">
        <v>107</v>
      </c>
      <c r="B95" s="1" t="s">
        <v>121</v>
      </c>
      <c r="C95" s="2">
        <v>46249</v>
      </c>
      <c r="D95">
        <v>2</v>
      </c>
      <c r="E95" s="2">
        <v>46253</v>
      </c>
      <c r="F95">
        <v>1450</v>
      </c>
      <c r="G95">
        <v>4</v>
      </c>
      <c r="H95" s="1" t="s">
        <v>124</v>
      </c>
      <c r="I95" s="1" t="s">
        <v>10</v>
      </c>
      <c r="J95" s="1" t="s">
        <v>18</v>
      </c>
    </row>
    <row r="96" spans="1:10" x14ac:dyDescent="0.3">
      <c r="A96" s="1" t="s">
        <v>108</v>
      </c>
      <c r="B96" s="1" t="s">
        <v>123</v>
      </c>
      <c r="C96" s="2">
        <v>46250</v>
      </c>
      <c r="D96">
        <v>5</v>
      </c>
      <c r="E96" s="2">
        <v>46255</v>
      </c>
      <c r="F96">
        <v>3520</v>
      </c>
      <c r="G96">
        <v>5</v>
      </c>
      <c r="H96" s="1" t="s">
        <v>122</v>
      </c>
      <c r="I96" s="1" t="s">
        <v>13</v>
      </c>
      <c r="J96" s="1" t="s">
        <v>11</v>
      </c>
    </row>
    <row r="97" spans="1:10" x14ac:dyDescent="0.3">
      <c r="A97" s="1" t="s">
        <v>109</v>
      </c>
      <c r="B97" s="1" t="s">
        <v>125</v>
      </c>
      <c r="C97" s="2">
        <v>46251</v>
      </c>
      <c r="D97">
        <v>4</v>
      </c>
      <c r="E97" s="2">
        <v>46254</v>
      </c>
      <c r="F97">
        <v>3940</v>
      </c>
      <c r="G97">
        <v>3</v>
      </c>
      <c r="H97" s="1" t="s">
        <v>122</v>
      </c>
      <c r="I97" s="1" t="s">
        <v>16</v>
      </c>
      <c r="J97" s="1" t="s">
        <v>7</v>
      </c>
    </row>
    <row r="98" spans="1:10" x14ac:dyDescent="0.3">
      <c r="A98" s="1" t="s">
        <v>110</v>
      </c>
      <c r="B98" s="1" t="s">
        <v>121</v>
      </c>
      <c r="C98" s="2">
        <v>46251</v>
      </c>
      <c r="D98">
        <v>3</v>
      </c>
      <c r="E98" s="2">
        <v>46255</v>
      </c>
      <c r="F98">
        <v>1560</v>
      </c>
      <c r="G98">
        <v>4</v>
      </c>
      <c r="H98" s="1" t="s">
        <v>124</v>
      </c>
      <c r="I98" s="1" t="s">
        <v>6</v>
      </c>
      <c r="J98" s="1" t="s">
        <v>18</v>
      </c>
    </row>
    <row r="99" spans="1:10" x14ac:dyDescent="0.3">
      <c r="A99" s="1" t="s">
        <v>111</v>
      </c>
      <c r="B99" s="1" t="s">
        <v>123</v>
      </c>
      <c r="C99" s="2">
        <v>46252</v>
      </c>
      <c r="D99">
        <v>2</v>
      </c>
      <c r="E99" s="2">
        <v>46256</v>
      </c>
      <c r="F99">
        <v>2510</v>
      </c>
      <c r="G99">
        <v>4</v>
      </c>
      <c r="H99" s="1" t="s">
        <v>124</v>
      </c>
      <c r="I99" s="1" t="s">
        <v>10</v>
      </c>
      <c r="J99" s="1" t="s">
        <v>11</v>
      </c>
    </row>
    <row r="100" spans="1:10" x14ac:dyDescent="0.3">
      <c r="A100" s="1" t="s">
        <v>112</v>
      </c>
      <c r="B100" s="1" t="s">
        <v>125</v>
      </c>
      <c r="C100" s="2">
        <v>46253</v>
      </c>
      <c r="D100">
        <v>5</v>
      </c>
      <c r="E100" s="2">
        <v>46256</v>
      </c>
      <c r="F100">
        <v>5900</v>
      </c>
      <c r="G100">
        <v>3</v>
      </c>
      <c r="H100" s="1" t="s">
        <v>122</v>
      </c>
      <c r="I100" s="1" t="s">
        <v>13</v>
      </c>
      <c r="J100" s="1" t="s">
        <v>7</v>
      </c>
    </row>
    <row r="101" spans="1:10" x14ac:dyDescent="0.3">
      <c r="A101" s="1" t="s">
        <v>113</v>
      </c>
      <c r="B101" s="1" t="s">
        <v>121</v>
      </c>
      <c r="C101" s="2">
        <v>46253</v>
      </c>
      <c r="D101">
        <v>4</v>
      </c>
      <c r="E101" s="2">
        <v>46258</v>
      </c>
      <c r="F101">
        <v>1690</v>
      </c>
      <c r="G101">
        <v>5</v>
      </c>
      <c r="H101" s="1" t="s">
        <v>124</v>
      </c>
      <c r="I101" s="1" t="s">
        <v>16</v>
      </c>
      <c r="J101" s="1" t="s">
        <v>18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AA59F-92D1-478D-BE2D-9FD1FE698C6F}">
  <dimension ref="A3:C46"/>
  <sheetViews>
    <sheetView topLeftCell="A5" workbookViewId="0">
      <selection activeCell="B17" sqref="B17"/>
    </sheetView>
  </sheetViews>
  <sheetFormatPr defaultRowHeight="14.4" x14ac:dyDescent="0.3"/>
  <cols>
    <col min="1" max="1" width="12.44140625" bestFit="1" customWidth="1"/>
    <col min="2" max="2" width="15.5546875" bestFit="1" customWidth="1"/>
    <col min="3" max="3" width="15.77734375" bestFit="1" customWidth="1"/>
    <col min="4" max="4" width="14.77734375" bestFit="1" customWidth="1"/>
    <col min="5" max="5" width="15.77734375" bestFit="1" customWidth="1"/>
  </cols>
  <sheetData>
    <row r="3" spans="1:2" x14ac:dyDescent="0.3">
      <c r="A3" s="3" t="s">
        <v>136</v>
      </c>
      <c r="B3" t="s">
        <v>139</v>
      </c>
    </row>
    <row r="4" spans="1:2" x14ac:dyDescent="0.3">
      <c r="A4" s="4" t="s">
        <v>124</v>
      </c>
      <c r="B4" s="5">
        <v>0.47</v>
      </c>
    </row>
    <row r="5" spans="1:2" x14ac:dyDescent="0.3">
      <c r="A5" s="4" t="s">
        <v>122</v>
      </c>
      <c r="B5" s="5">
        <v>0.53</v>
      </c>
    </row>
    <row r="6" spans="1:2" x14ac:dyDescent="0.3">
      <c r="A6" s="4" t="s">
        <v>137</v>
      </c>
      <c r="B6" s="5">
        <v>1</v>
      </c>
    </row>
    <row r="16" spans="1:2" x14ac:dyDescent="0.3">
      <c r="B16" s="3" t="s">
        <v>140</v>
      </c>
    </row>
    <row r="17" spans="1:3" x14ac:dyDescent="0.3">
      <c r="B17" t="s">
        <v>124</v>
      </c>
    </row>
    <row r="18" spans="1:3" x14ac:dyDescent="0.3">
      <c r="A18" s="3" t="s">
        <v>136</v>
      </c>
      <c r="B18" t="s">
        <v>138</v>
      </c>
      <c r="C18" t="s">
        <v>139</v>
      </c>
    </row>
    <row r="19" spans="1:3" x14ac:dyDescent="0.3">
      <c r="A19" s="4" t="s">
        <v>121</v>
      </c>
      <c r="B19" s="1">
        <v>21</v>
      </c>
      <c r="C19" s="5">
        <v>0.44680851063829785</v>
      </c>
    </row>
    <row r="20" spans="1:3" x14ac:dyDescent="0.3">
      <c r="A20" s="4" t="s">
        <v>125</v>
      </c>
      <c r="B20" s="1">
        <v>8</v>
      </c>
      <c r="C20" s="5">
        <v>0.1702127659574468</v>
      </c>
    </row>
    <row r="21" spans="1:3" x14ac:dyDescent="0.3">
      <c r="A21" s="4" t="s">
        <v>123</v>
      </c>
      <c r="B21" s="1">
        <v>18</v>
      </c>
      <c r="C21" s="5">
        <v>0.38297872340425532</v>
      </c>
    </row>
    <row r="22" spans="1:3" x14ac:dyDescent="0.3">
      <c r="A22" s="4" t="s">
        <v>137</v>
      </c>
      <c r="B22" s="1">
        <v>47</v>
      </c>
      <c r="C22" s="5">
        <v>1</v>
      </c>
    </row>
    <row r="27" spans="1:3" x14ac:dyDescent="0.3">
      <c r="A27" s="3" t="s">
        <v>136</v>
      </c>
      <c r="B27" t="s">
        <v>118</v>
      </c>
      <c r="C27" t="s">
        <v>141</v>
      </c>
    </row>
    <row r="28" spans="1:3" x14ac:dyDescent="0.3">
      <c r="A28" s="4" t="s">
        <v>16</v>
      </c>
      <c r="B28" s="1">
        <v>70050</v>
      </c>
      <c r="C28" s="7">
        <v>4.5199999999999996</v>
      </c>
    </row>
    <row r="29" spans="1:3" x14ac:dyDescent="0.3">
      <c r="A29" s="4" t="s">
        <v>6</v>
      </c>
      <c r="B29" s="1">
        <v>67590</v>
      </c>
      <c r="C29" s="7">
        <v>2.96</v>
      </c>
    </row>
    <row r="30" spans="1:3" x14ac:dyDescent="0.3">
      <c r="A30" s="4" t="s">
        <v>10</v>
      </c>
      <c r="B30" s="1">
        <v>75640</v>
      </c>
      <c r="C30" s="7">
        <v>3.76</v>
      </c>
    </row>
    <row r="31" spans="1:3" x14ac:dyDescent="0.3">
      <c r="A31" s="4" t="s">
        <v>13</v>
      </c>
      <c r="B31" s="1">
        <v>88020</v>
      </c>
      <c r="C31" s="7">
        <v>3.68</v>
      </c>
    </row>
    <row r="32" spans="1:3" x14ac:dyDescent="0.3">
      <c r="A32" s="4" t="s">
        <v>137</v>
      </c>
      <c r="B32" s="1">
        <v>301300</v>
      </c>
      <c r="C32" s="7">
        <v>3.73</v>
      </c>
    </row>
    <row r="36" spans="1:2" x14ac:dyDescent="0.3">
      <c r="A36" s="3" t="s">
        <v>138</v>
      </c>
      <c r="B36" s="3" t="s">
        <v>140</v>
      </c>
    </row>
    <row r="37" spans="1:2" x14ac:dyDescent="0.3">
      <c r="A37" s="3" t="s">
        <v>136</v>
      </c>
      <c r="B37" t="s">
        <v>124</v>
      </c>
    </row>
    <row r="38" spans="1:2" x14ac:dyDescent="0.3">
      <c r="A38" s="4" t="s">
        <v>7</v>
      </c>
      <c r="B38" s="1">
        <v>8</v>
      </c>
    </row>
    <row r="39" spans="1:2" x14ac:dyDescent="0.3">
      <c r="A39" s="4" t="s">
        <v>18</v>
      </c>
      <c r="B39" s="1">
        <v>20</v>
      </c>
    </row>
    <row r="40" spans="1:2" x14ac:dyDescent="0.3">
      <c r="A40" s="4" t="s">
        <v>11</v>
      </c>
      <c r="B40" s="1">
        <v>19</v>
      </c>
    </row>
    <row r="41" spans="1:2" x14ac:dyDescent="0.3">
      <c r="A41" s="4" t="s">
        <v>137</v>
      </c>
      <c r="B41" s="1">
        <v>47</v>
      </c>
    </row>
    <row r="45" spans="1:2" x14ac:dyDescent="0.3">
      <c r="A45" t="s">
        <v>142</v>
      </c>
    </row>
    <row r="46" spans="1:2" x14ac:dyDescent="0.3">
      <c r="A46" s="7">
        <v>3.73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259FB-A381-4F23-8AE8-CFF96E683D41}">
  <dimension ref="C8:E8"/>
  <sheetViews>
    <sheetView showGridLines="0" showRowColHeaders="0" tabSelected="1" workbookViewId="0">
      <selection activeCell="B14" sqref="B14"/>
    </sheetView>
  </sheetViews>
  <sheetFormatPr defaultRowHeight="14.4" x14ac:dyDescent="0.3"/>
  <cols>
    <col min="2" max="2" width="10.6640625" customWidth="1"/>
  </cols>
  <sheetData>
    <row r="8" spans="3:5" ht="18" x14ac:dyDescent="0.35">
      <c r="C8" s="9"/>
      <c r="D8" s="9"/>
      <c r="E8" s="9"/>
    </row>
  </sheetData>
  <mergeCells count="1">
    <mergeCell ref="C8:E8"/>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8F2AC9D3-09EA-445B-ACC7-A68853EAD7A6}">
  <ds:schemaRefs>
    <ds:schemaRef ds:uri="http://schemas.microsoft.com/DataMashup"/>
  </ds:schemaRefs>
</ds:datastoreItem>
</file>

<file path=customXml/itemProps2.xml><?xml version="1.0" encoding="utf-8"?>
<ds:datastoreItem xmlns:ds="http://schemas.openxmlformats.org/officeDocument/2006/customXml" ds:itemID="{5495FE2D-6C44-4963-9099-E579E8C148CF}">
  <ds:schemaRefs/>
</ds:datastoreItem>
</file>

<file path=customXml/itemProps3.xml><?xml version="1.0" encoding="utf-8"?>
<ds:datastoreItem xmlns:ds="http://schemas.openxmlformats.org/officeDocument/2006/customXml" ds:itemID="{20F4F2D1-E744-4932-8DDF-5E1211E0B3D3}">
  <ds:schemaRefs/>
</ds:datastoreItem>
</file>

<file path=customXml/itemProps4.xml><?xml version="1.0" encoding="utf-8"?>
<ds:datastoreItem xmlns:ds="http://schemas.openxmlformats.org/officeDocument/2006/customXml" ds:itemID="{0748B9E1-F754-4CE3-89A0-27FD817553D1}">
  <ds:schemaRefs/>
</ds:datastoreItem>
</file>

<file path=customXml/itemProps5.xml><?xml version="1.0" encoding="utf-8"?>
<ds:datastoreItem xmlns:ds="http://schemas.openxmlformats.org/officeDocument/2006/customXml" ds:itemID="{5C14BBA8-9082-438F-A001-FB2957C112E7}">
  <ds:schemaRefs/>
</ds:datastoreItem>
</file>

<file path=customXml/itemProps6.xml><?xml version="1.0" encoding="utf-8"?>
<ds:datastoreItem xmlns:ds="http://schemas.openxmlformats.org/officeDocument/2006/customXml" ds:itemID="{7290FBDD-9272-4B2A-90FC-6537E085030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Analysis</vt:lpstr>
      <vt:lpstr>orders</vt:lpstr>
      <vt:lpstr>logistics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SIDDHESH GADADHARE</dc:creator>
  <cp:lastModifiedBy>SIDDHESH GADADHARE</cp:lastModifiedBy>
  <dcterms:created xsi:type="dcterms:W3CDTF">2026-06-16T15:22:53Z</dcterms:created>
  <dcterms:modified xsi:type="dcterms:W3CDTF">2026-06-24T16:26:12Z</dcterms:modified>
</cp:coreProperties>
</file>